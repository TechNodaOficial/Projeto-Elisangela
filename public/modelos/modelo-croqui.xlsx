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  <sheet xmlns:r="http://schemas.openxmlformats.org/officeDocument/2006/relationships" name="Plan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Calibri"/>
      <family val="2"/>
      <b val="1"/>
      <i val="1"/>
      <color rgb="FF000000"/>
      <sz val="14"/>
      <u val="single"/>
    </font>
    <font>
      <name val="Calibri"/>
      <family val="2"/>
      <b val="1"/>
      <color rgb="FF000000"/>
      <sz val="11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4"/>
    </font>
    <font>
      <name val="Calibri"/>
      <family val="2"/>
      <color rgb="FF000000"/>
      <sz val="16"/>
    </font>
    <font>
      <name val="Calibri"/>
      <family val="2"/>
      <b val="1"/>
      <color rgb="FF000000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FFCC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3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3" borderId="3" pivotButton="0" quotePrefix="0" xfId="0"/>
    <xf numFmtId="0" fontId="2" fillId="0" borderId="3" applyAlignment="1" pivotButton="0" quotePrefix="0" xfId="0">
      <alignment horizontal="right"/>
    </xf>
    <xf numFmtId="0" fontId="0" fillId="0" borderId="3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center"/>
    </xf>
    <xf numFmtId="0" fontId="4" fillId="0" borderId="3" pivotButton="0" quotePrefix="0" xfId="0"/>
    <xf numFmtId="0" fontId="0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0" borderId="4" pivotButton="0" quotePrefix="0" xfId="0"/>
    <xf numFmtId="0" fontId="5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3" fillId="0" borderId="3" pivotButton="0" quotePrefix="0" xfId="0"/>
    <xf numFmtId="0" fontId="2" fillId="0" borderId="1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3" pivotButton="0" quotePrefix="0" xfId="0"/>
    <xf numFmtId="0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4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3" fillId="0" borderId="3" pivotButton="0" quotePrefix="0" xfId="0"/>
    <xf numFmtId="0" fontId="2" fillId="0" borderId="8" applyAlignment="1" pivotButton="0" quotePrefix="0" xfId="0">
      <alignment horizontal="center"/>
    </xf>
    <xf numFmtId="0" fontId="3" fillId="0" borderId="9" pivotButton="0" quotePrefix="0" xfId="0"/>
    <xf numFmtId="0" fontId="2" fillId="2" borderId="4" applyAlignment="1" pivotButton="0" quotePrefix="0" xfId="0">
      <alignment horizontal="center"/>
    </xf>
    <xf numFmtId="0" fontId="2" fillId="4" borderId="10" applyAlignment="1" pivotButton="0" quotePrefix="0" xfId="0">
      <alignment horizontal="center"/>
    </xf>
    <xf numFmtId="0" fontId="2" fillId="4" borderId="11" applyAlignment="1" pivotButton="0" quotePrefix="0" xfId="0">
      <alignment horizontal="center"/>
    </xf>
    <xf numFmtId="0" fontId="2" fillId="4" borderId="1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4" applyAlignment="1" pivotButton="0" quotePrefix="0" xfId="0">
      <alignment horizontal="center"/>
    </xf>
    <xf numFmtId="0" fontId="4" fillId="0" borderId="13" pivotButton="0" quotePrefix="0" xfId="0"/>
    <xf numFmtId="0" fontId="0" fillId="0" borderId="14" applyAlignment="1" pivotButton="0" quotePrefix="0" xfId="0">
      <alignment horizontal="center"/>
    </xf>
    <xf numFmtId="0" fontId="2" fillId="0" borderId="15" pivotButton="0" quotePrefix="0" xfId="0"/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7" pivotButton="0" quotePrefix="0" xfId="0"/>
    <xf numFmtId="0" fontId="0" fillId="3" borderId="14" applyAlignment="1" pivotButton="0" quotePrefix="0" xfId="0">
      <alignment horizontal="center"/>
    </xf>
    <xf numFmtId="0" fontId="0" fillId="0" borderId="14" pivotButton="0" quotePrefix="0" xfId="0"/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3" fillId="0" borderId="7" pivotButton="0" quotePrefix="0" xfId="0"/>
    <xf numFmtId="0" fontId="4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3" fillId="0" borderId="4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2" fillId="0" borderId="22" applyAlignment="1" pivotButton="0" quotePrefix="0" xfId="0">
      <alignment horizontal="center"/>
    </xf>
    <xf numFmtId="0" fontId="0" fillId="0" borderId="9" pivotButton="0" quotePrefix="0" xfId="0"/>
    <xf numFmtId="0" fontId="0" fillId="0" borderId="7" pivotButton="0" quotePrefix="0" xfId="0"/>
    <xf numFmtId="0" fontId="2" fillId="0" borderId="24" applyAlignment="1" pivotButton="0" quotePrefix="0" xfId="0">
      <alignment horizontal="center"/>
    </xf>
    <xf numFmtId="0" fontId="0" fillId="0" borderId="2" pivotButton="0" quotePrefix="0" xfId="0"/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topLeftCell="A224" workbookViewId="0">
      <selection activeCell="A226" sqref="A226"/>
    </sheetView>
  </sheetViews>
  <sheetFormatPr baseColWidth="8" defaultColWidth="14.44140625" defaultRowHeight="15" customHeight="1"/>
  <cols>
    <col width="12.21875" customWidth="1" min="1" max="1"/>
    <col width="19.77734375" customWidth="1" min="2" max="2"/>
    <col width="10.77734375" customWidth="1" min="3" max="4"/>
    <col width="10" customWidth="1" min="5" max="5"/>
    <col width="19.77734375" customWidth="1" min="6" max="6"/>
    <col width="10.77734375" customWidth="1" min="7" max="8"/>
    <col width="8.44140625" customWidth="1" min="9" max="9"/>
    <col width="19.77734375" customWidth="1" min="10" max="10"/>
    <col width="10.77734375" customWidth="1" min="11" max="12"/>
  </cols>
  <sheetData>
    <row r="1" ht="18.75" customHeight="1">
      <c r="B1" s="1" t="n"/>
    </row>
    <row r="2" ht="15.75" customHeight="1" thickBot="1"/>
    <row r="3" ht="15.75" customHeight="1">
      <c r="B3" s="37" t="inlineStr">
        <is>
          <t xml:space="preserve">MESA 01  </t>
        </is>
      </c>
      <c r="C3" s="60" t="n"/>
      <c r="D3" s="61" t="n"/>
      <c r="F3" s="37" t="inlineStr">
        <is>
          <t xml:space="preserve">MESA 02 </t>
        </is>
      </c>
      <c r="G3" s="60" t="n"/>
      <c r="H3" s="61" t="n"/>
    </row>
    <row r="4" ht="15.75" customHeight="1">
      <c r="B4" s="40" t="inlineStr">
        <is>
          <t>NOME</t>
        </is>
      </c>
      <c r="C4" s="36" t="inlineStr">
        <is>
          <t>ADULTO</t>
        </is>
      </c>
      <c r="D4" s="41" t="inlineStr">
        <is>
          <t>CRIANÇA</t>
        </is>
      </c>
      <c r="F4" s="40" t="inlineStr">
        <is>
          <t>NOME</t>
        </is>
      </c>
      <c r="G4" s="36" t="inlineStr">
        <is>
          <t>ADULTO</t>
        </is>
      </c>
      <c r="H4" s="41" t="inlineStr">
        <is>
          <t>CRIANÇA</t>
        </is>
      </c>
    </row>
    <row r="5" ht="14.4" customHeight="1">
      <c r="B5" s="42" t="inlineStr">
        <is>
          <t xml:space="preserve">1- </t>
        </is>
      </c>
      <c r="C5" s="14" t="n"/>
      <c r="D5" s="43" t="n"/>
      <c r="F5" s="42" t="inlineStr">
        <is>
          <t xml:space="preserve">1- </t>
        </is>
      </c>
      <c r="G5" s="14" t="n"/>
      <c r="H5" s="43" t="n"/>
    </row>
    <row r="6" ht="14.4" customHeight="1">
      <c r="B6" s="42" t="inlineStr">
        <is>
          <t xml:space="preserve">2- </t>
        </is>
      </c>
      <c r="C6" s="14" t="n"/>
      <c r="D6" s="43" t="n"/>
      <c r="F6" s="42" t="inlineStr">
        <is>
          <t xml:space="preserve">2- </t>
        </is>
      </c>
      <c r="G6" s="14" t="n"/>
      <c r="H6" s="43" t="n"/>
    </row>
    <row r="7" ht="14.4" customHeight="1">
      <c r="B7" s="42" t="inlineStr">
        <is>
          <t xml:space="preserve">3- </t>
        </is>
      </c>
      <c r="C7" s="14" t="n"/>
      <c r="D7" s="43" t="n"/>
      <c r="F7" s="42" t="inlineStr">
        <is>
          <t xml:space="preserve">3- </t>
        </is>
      </c>
      <c r="G7" s="14" t="n"/>
      <c r="H7" s="43" t="n"/>
    </row>
    <row r="8" ht="14.4" customHeight="1">
      <c r="B8" s="42" t="inlineStr">
        <is>
          <t xml:space="preserve">4- </t>
        </is>
      </c>
      <c r="C8" s="14" t="n"/>
      <c r="D8" s="43" t="n"/>
      <c r="F8" s="42" t="inlineStr">
        <is>
          <t xml:space="preserve">4- </t>
        </is>
      </c>
      <c r="G8" s="14" t="n"/>
      <c r="H8" s="43" t="n"/>
    </row>
    <row r="9" ht="14.4" customHeight="1">
      <c r="B9" s="42" t="inlineStr">
        <is>
          <t xml:space="preserve">5- </t>
        </is>
      </c>
      <c r="C9" s="14" t="n"/>
      <c r="D9" s="43" t="n"/>
      <c r="F9" s="42" t="inlineStr">
        <is>
          <t xml:space="preserve">5- </t>
        </is>
      </c>
      <c r="G9" s="14" t="n"/>
      <c r="H9" s="43" t="n"/>
    </row>
    <row r="10" ht="14.4" customHeight="1">
      <c r="B10" s="42" t="inlineStr">
        <is>
          <t xml:space="preserve">6- </t>
        </is>
      </c>
      <c r="C10" s="14" t="n"/>
      <c r="D10" s="43" t="n"/>
      <c r="F10" s="42" t="inlineStr">
        <is>
          <t xml:space="preserve">6- </t>
        </is>
      </c>
      <c r="G10" s="14" t="n"/>
      <c r="H10" s="43" t="n"/>
    </row>
    <row r="11" ht="14.4" customHeight="1">
      <c r="B11" s="42" t="inlineStr">
        <is>
          <t xml:space="preserve">7- </t>
        </is>
      </c>
      <c r="C11" s="14" t="n"/>
      <c r="D11" s="43" t="n"/>
      <c r="F11" s="42" t="inlineStr">
        <is>
          <t xml:space="preserve">7- </t>
        </is>
      </c>
      <c r="G11" s="14" t="n"/>
      <c r="H11" s="43" t="n"/>
    </row>
    <row r="12" ht="14.4" customHeight="1">
      <c r="B12" s="42" t="inlineStr">
        <is>
          <t>8-</t>
        </is>
      </c>
      <c r="C12" s="14" t="n"/>
      <c r="D12" s="43" t="n"/>
      <c r="F12" s="42" t="inlineStr">
        <is>
          <t>8-</t>
        </is>
      </c>
      <c r="G12" s="14" t="n"/>
      <c r="H12" s="43" t="n"/>
    </row>
    <row r="13" ht="14.4" customHeight="1">
      <c r="B13" s="42" t="inlineStr">
        <is>
          <t>9-</t>
        </is>
      </c>
      <c r="C13" s="14" t="n"/>
      <c r="D13" s="43" t="n"/>
      <c r="F13" s="42" t="inlineStr">
        <is>
          <t>9-</t>
        </is>
      </c>
      <c r="G13" s="14" t="n"/>
      <c r="H13" s="43" t="n"/>
    </row>
    <row r="14" ht="14.4" customHeight="1">
      <c r="B14" s="42" t="inlineStr">
        <is>
          <t>10-</t>
        </is>
      </c>
      <c r="C14" s="14" t="n"/>
      <c r="D14" s="43" t="n"/>
      <c r="F14" s="42" t="inlineStr">
        <is>
          <t>10-</t>
        </is>
      </c>
      <c r="G14" s="14" t="n"/>
      <c r="H14" s="43" t="n"/>
    </row>
    <row r="15" thickBot="1">
      <c r="B15" s="44" t="inlineStr">
        <is>
          <t>Quantidade:</t>
        </is>
      </c>
      <c r="C15" s="45">
        <f>SUM(C5:C14)</f>
        <v/>
      </c>
      <c r="D15" s="46">
        <f>SUM(D5:D14)</f>
        <v/>
      </c>
      <c r="F15" s="44" t="inlineStr">
        <is>
          <t>Quantidade:</t>
        </is>
      </c>
      <c r="G15" s="45">
        <f>SUM(G5:G14)</f>
        <v/>
      </c>
      <c r="H15" s="46">
        <f>SUM(H5:H14)</f>
        <v/>
      </c>
    </row>
    <row r="16" thickBot="1">
      <c r="B16" s="32" t="inlineStr">
        <is>
          <t>TOTAL</t>
        </is>
      </c>
      <c r="C16" s="62">
        <f>SUM(C15:D15)</f>
        <v/>
      </c>
      <c r="D16" s="63" t="n"/>
      <c r="F16" s="32" t="inlineStr">
        <is>
          <t>TOTAL</t>
        </is>
      </c>
      <c r="G16" s="12">
        <f>SUM(G15:H15)</f>
        <v/>
      </c>
      <c r="H16" s="64" t="n"/>
    </row>
    <row r="17" ht="14.4" customHeight="1">
      <c r="G17" s="3" t="n"/>
      <c r="H17" s="3" t="n"/>
    </row>
    <row r="18" ht="15.75" customHeight="1" thickBot="1">
      <c r="C18" s="3" t="n"/>
      <c r="D18" s="3" t="n"/>
    </row>
    <row r="19" ht="15.75" customHeight="1">
      <c r="B19" s="37" t="inlineStr">
        <is>
          <t>MESA 03</t>
        </is>
      </c>
      <c r="C19" s="60" t="n"/>
      <c r="D19" s="61" t="n"/>
      <c r="F19" s="37" t="inlineStr">
        <is>
          <t>MESA 04</t>
        </is>
      </c>
      <c r="G19" s="60" t="n"/>
      <c r="H19" s="61" t="n"/>
    </row>
    <row r="20" ht="15.75" customHeight="1">
      <c r="B20" s="40" t="inlineStr">
        <is>
          <t>NOME</t>
        </is>
      </c>
      <c r="C20" s="36" t="inlineStr">
        <is>
          <t>ADULTO</t>
        </is>
      </c>
      <c r="D20" s="41" t="inlineStr">
        <is>
          <t>CRIANÇA</t>
        </is>
      </c>
      <c r="F20" s="40" t="inlineStr">
        <is>
          <t>NOME</t>
        </is>
      </c>
      <c r="G20" s="36" t="inlineStr">
        <is>
          <t>ADULTO</t>
        </is>
      </c>
      <c r="H20" s="41" t="inlineStr">
        <is>
          <t>CRIANÇA</t>
        </is>
      </c>
    </row>
    <row r="21" ht="15.75" customHeight="1">
      <c r="B21" s="42" t="inlineStr">
        <is>
          <t xml:space="preserve">1- </t>
        </is>
      </c>
      <c r="C21" s="14" t="n"/>
      <c r="D21" s="43" t="n"/>
      <c r="F21" s="42" t="inlineStr">
        <is>
          <t xml:space="preserve">1- </t>
        </is>
      </c>
      <c r="G21" s="15" t="n"/>
      <c r="H21" s="49" t="n"/>
    </row>
    <row r="22" ht="14.4" customHeight="1">
      <c r="B22" s="42" t="inlineStr">
        <is>
          <t xml:space="preserve">2- </t>
        </is>
      </c>
      <c r="C22" s="14" t="n"/>
      <c r="D22" s="43" t="n"/>
      <c r="F22" s="42" t="inlineStr">
        <is>
          <t xml:space="preserve">2- </t>
        </is>
      </c>
      <c r="G22" s="15" t="n"/>
      <c r="H22" s="49" t="n"/>
    </row>
    <row r="23" ht="15.75" customHeight="1">
      <c r="B23" s="42" t="inlineStr">
        <is>
          <t xml:space="preserve">3- </t>
        </is>
      </c>
      <c r="C23" s="14" t="n"/>
      <c r="D23" s="43" t="n"/>
      <c r="F23" s="42" t="inlineStr">
        <is>
          <t xml:space="preserve">3- </t>
        </is>
      </c>
      <c r="G23" s="15" t="n"/>
      <c r="H23" s="49" t="n"/>
    </row>
    <row r="24" ht="15.75" customHeight="1">
      <c r="B24" s="42" t="inlineStr">
        <is>
          <t xml:space="preserve">4- </t>
        </is>
      </c>
      <c r="C24" s="14" t="n"/>
      <c r="D24" s="43" t="n"/>
      <c r="F24" s="42" t="inlineStr">
        <is>
          <t xml:space="preserve">4- </t>
        </is>
      </c>
      <c r="G24" s="15" t="n"/>
      <c r="H24" s="49" t="n"/>
    </row>
    <row r="25" ht="15.75" customHeight="1">
      <c r="B25" s="42" t="inlineStr">
        <is>
          <t xml:space="preserve">5- </t>
        </is>
      </c>
      <c r="C25" s="14" t="n"/>
      <c r="D25" s="43" t="n"/>
      <c r="F25" s="42" t="inlineStr">
        <is>
          <t xml:space="preserve">5- </t>
        </is>
      </c>
      <c r="G25" s="15" t="n"/>
      <c r="H25" s="49" t="n"/>
    </row>
    <row r="26" ht="15.75" customHeight="1">
      <c r="B26" s="42" t="inlineStr">
        <is>
          <t xml:space="preserve">6- </t>
        </is>
      </c>
      <c r="C26" s="14" t="n"/>
      <c r="D26" s="43" t="n"/>
      <c r="F26" s="42" t="inlineStr">
        <is>
          <t xml:space="preserve">6- </t>
        </is>
      </c>
      <c r="G26" s="15" t="n"/>
      <c r="H26" s="49" t="n"/>
    </row>
    <row r="27" ht="15.75" customHeight="1">
      <c r="B27" s="42" t="inlineStr">
        <is>
          <t xml:space="preserve">7- </t>
        </is>
      </c>
      <c r="C27" s="14" t="n"/>
      <c r="D27" s="43" t="n"/>
      <c r="F27" s="42" t="inlineStr">
        <is>
          <t xml:space="preserve">7- </t>
        </is>
      </c>
      <c r="G27" s="15" t="n"/>
      <c r="H27" s="49" t="n"/>
    </row>
    <row r="28" ht="15.75" customHeight="1">
      <c r="B28" s="42" t="inlineStr">
        <is>
          <t>8-</t>
        </is>
      </c>
      <c r="C28" s="14" t="n"/>
      <c r="D28" s="43" t="n"/>
      <c r="F28" s="42" t="inlineStr">
        <is>
          <t>8-</t>
        </is>
      </c>
      <c r="G28" s="15" t="n"/>
      <c r="H28" s="49" t="n"/>
    </row>
    <row r="29" ht="15.75" customHeight="1">
      <c r="B29" s="42" t="inlineStr">
        <is>
          <t>9-</t>
        </is>
      </c>
      <c r="C29" s="14" t="n"/>
      <c r="D29" s="43" t="n"/>
      <c r="F29" s="42" t="inlineStr">
        <is>
          <t>9-</t>
        </is>
      </c>
      <c r="G29" s="15" t="n"/>
      <c r="H29" s="49" t="n"/>
    </row>
    <row r="30" ht="15.75" customHeight="1">
      <c r="B30" s="42" t="inlineStr">
        <is>
          <t>10-</t>
        </is>
      </c>
      <c r="C30" s="14" t="n"/>
      <c r="D30" s="43" t="n"/>
      <c r="F30" s="42" t="inlineStr">
        <is>
          <t>10-</t>
        </is>
      </c>
      <c r="G30" s="15" t="n"/>
      <c r="H30" s="49" t="n"/>
    </row>
    <row r="31" ht="15.75" customHeight="1" thickBot="1">
      <c r="B31" s="44" t="inlineStr">
        <is>
          <t>QUANTIDADE</t>
        </is>
      </c>
      <c r="C31" s="45">
        <f>SUM(C21:C30)</f>
        <v/>
      </c>
      <c r="D31" s="46">
        <f>SUM(D21:D30)</f>
        <v/>
      </c>
      <c r="F31" s="44" t="inlineStr">
        <is>
          <t>QUANTIDADE</t>
        </is>
      </c>
      <c r="G31" s="45">
        <f>SUM(G21:G30)</f>
        <v/>
      </c>
      <c r="H31" s="46">
        <f>SUM(H21:H30)</f>
        <v/>
      </c>
    </row>
    <row r="32" ht="15.75" customHeight="1" thickBot="1">
      <c r="B32" s="32" t="inlineStr">
        <is>
          <t>TOTAL</t>
        </is>
      </c>
      <c r="C32" s="12">
        <f>SUM(C31:D31)</f>
        <v/>
      </c>
      <c r="D32" s="64" t="n"/>
      <c r="F32" s="32" t="inlineStr">
        <is>
          <t>TOTAL</t>
        </is>
      </c>
      <c r="G32" s="12">
        <f>SUM(G31:H31)</f>
        <v/>
      </c>
      <c r="H32" s="64" t="n"/>
    </row>
    <row r="33" ht="15.75" customHeight="1"/>
    <row r="34" ht="15.75" customHeight="1" thickBot="1"/>
    <row r="35" ht="15.75" customHeight="1">
      <c r="B35" s="37" t="inlineStr">
        <is>
          <t>MESA 05</t>
        </is>
      </c>
      <c r="C35" s="60" t="n"/>
      <c r="D35" s="61" t="n"/>
      <c r="F35" s="51" t="inlineStr">
        <is>
          <t>MESA 06</t>
        </is>
      </c>
      <c r="G35" s="60" t="n"/>
      <c r="H35" s="61" t="n"/>
    </row>
    <row r="36" ht="15.75" customHeight="1">
      <c r="B36" s="40" t="inlineStr">
        <is>
          <t>NOME</t>
        </is>
      </c>
      <c r="C36" s="36" t="inlineStr">
        <is>
          <t>ADULTO</t>
        </is>
      </c>
      <c r="D36" s="41" t="inlineStr">
        <is>
          <t>CRIANÇA</t>
        </is>
      </c>
      <c r="F36" s="40" t="inlineStr">
        <is>
          <t>NOME</t>
        </is>
      </c>
      <c r="G36" s="36" t="inlineStr">
        <is>
          <t>ADULTO</t>
        </is>
      </c>
      <c r="H36" s="41" t="inlineStr">
        <is>
          <t>CRIANÇA</t>
        </is>
      </c>
    </row>
    <row r="37" ht="15.75" customHeight="1">
      <c r="B37" s="42" t="inlineStr">
        <is>
          <t xml:space="preserve">1- </t>
        </is>
      </c>
      <c r="C37" s="14" t="n"/>
      <c r="D37" s="43" t="n"/>
      <c r="F37" s="42" t="inlineStr">
        <is>
          <t xml:space="preserve">1- </t>
        </is>
      </c>
      <c r="G37" s="14" t="n"/>
      <c r="H37" s="43" t="n"/>
    </row>
    <row r="38" ht="15.75" customHeight="1">
      <c r="B38" s="42" t="inlineStr">
        <is>
          <t xml:space="preserve">2- </t>
        </is>
      </c>
      <c r="C38" s="14" t="n"/>
      <c r="D38" s="43" t="n"/>
      <c r="F38" s="42" t="inlineStr">
        <is>
          <t xml:space="preserve">2- </t>
        </is>
      </c>
      <c r="G38" s="14" t="n"/>
      <c r="H38" s="43" t="n"/>
    </row>
    <row r="39" ht="15.75" customHeight="1">
      <c r="B39" s="42" t="inlineStr">
        <is>
          <t xml:space="preserve">3- </t>
        </is>
      </c>
      <c r="C39" s="14" t="n"/>
      <c r="D39" s="43" t="n"/>
      <c r="F39" s="42" t="inlineStr">
        <is>
          <t xml:space="preserve">3- </t>
        </is>
      </c>
      <c r="G39" s="14" t="n"/>
      <c r="H39" s="43" t="n"/>
    </row>
    <row r="40" ht="15.75" customHeight="1">
      <c r="B40" s="42" t="inlineStr">
        <is>
          <t xml:space="preserve">4- </t>
        </is>
      </c>
      <c r="C40" s="14" t="n"/>
      <c r="D40" s="43" t="n"/>
      <c r="F40" s="42" t="inlineStr">
        <is>
          <t xml:space="preserve">4- </t>
        </is>
      </c>
      <c r="G40" s="14" t="n"/>
      <c r="H40" s="43" t="n"/>
    </row>
    <row r="41" ht="15.75" customHeight="1">
      <c r="B41" s="42" t="inlineStr">
        <is>
          <t xml:space="preserve">5- </t>
        </is>
      </c>
      <c r="C41" s="14" t="n"/>
      <c r="D41" s="43" t="n"/>
      <c r="F41" s="42" t="inlineStr">
        <is>
          <t xml:space="preserve">5- </t>
        </is>
      </c>
      <c r="G41" s="14" t="n"/>
      <c r="H41" s="43" t="n"/>
    </row>
    <row r="42" ht="15.75" customHeight="1">
      <c r="B42" s="42" t="inlineStr">
        <is>
          <t xml:space="preserve">6- </t>
        </is>
      </c>
      <c r="C42" s="14" t="n"/>
      <c r="D42" s="43" t="n"/>
      <c r="E42" s="4" t="n"/>
      <c r="F42" s="42" t="inlineStr">
        <is>
          <t xml:space="preserve">6- </t>
        </is>
      </c>
      <c r="G42" s="14" t="n"/>
      <c r="H42" s="43" t="n"/>
      <c r="I42" s="4" t="n"/>
    </row>
    <row r="43" ht="15.75" customHeight="1">
      <c r="B43" s="42" t="inlineStr">
        <is>
          <t xml:space="preserve">7- </t>
        </is>
      </c>
      <c r="C43" s="14" t="n"/>
      <c r="D43" s="43" t="n"/>
      <c r="E43" s="4" t="n"/>
      <c r="F43" s="42" t="inlineStr">
        <is>
          <t xml:space="preserve">7- </t>
        </is>
      </c>
      <c r="G43" s="14" t="n"/>
      <c r="H43" s="43" t="n"/>
      <c r="I43" s="4" t="n"/>
    </row>
    <row r="44" ht="15.75" customHeight="1">
      <c r="B44" s="42" t="inlineStr">
        <is>
          <t>8-</t>
        </is>
      </c>
      <c r="C44" s="16" t="n"/>
      <c r="D44" s="50" t="n"/>
      <c r="E44" s="4" t="n"/>
      <c r="F44" s="42" t="inlineStr">
        <is>
          <t>8-</t>
        </is>
      </c>
      <c r="G44" s="14" t="n"/>
      <c r="H44" s="43" t="n"/>
      <c r="I44" s="4" t="n"/>
    </row>
    <row r="45" ht="15.75" customHeight="1">
      <c r="B45" s="42" t="inlineStr">
        <is>
          <t>9-</t>
        </is>
      </c>
      <c r="C45" s="16" t="n"/>
      <c r="D45" s="50" t="n"/>
      <c r="E45" s="4" t="n"/>
      <c r="F45" s="42" t="inlineStr">
        <is>
          <t>9-</t>
        </is>
      </c>
      <c r="G45" s="14" t="n"/>
      <c r="H45" s="43" t="n"/>
      <c r="I45" s="4" t="n"/>
    </row>
    <row r="46" ht="15.75" customHeight="1">
      <c r="B46" s="42" t="inlineStr">
        <is>
          <t>10-</t>
        </is>
      </c>
      <c r="C46" s="16" t="n"/>
      <c r="D46" s="50" t="n"/>
      <c r="E46" s="4" t="n"/>
      <c r="F46" s="42" t="inlineStr">
        <is>
          <t>10-</t>
        </is>
      </c>
      <c r="G46" s="14" t="n"/>
      <c r="H46" s="43" t="n"/>
      <c r="I46" s="4" t="n"/>
    </row>
    <row r="47" ht="15.75" customHeight="1" thickBot="1">
      <c r="B47" s="44" t="inlineStr">
        <is>
          <t>QUANTIDADE</t>
        </is>
      </c>
      <c r="C47" s="45">
        <f>SUM(C37:C46)</f>
        <v/>
      </c>
      <c r="D47" s="46">
        <f>SUM(D37:D46)</f>
        <v/>
      </c>
      <c r="E47" s="4" t="n"/>
      <c r="F47" s="44" t="inlineStr">
        <is>
          <t>QUANTIDADE</t>
        </is>
      </c>
      <c r="G47" s="45">
        <f>SUM(G37:G46)</f>
        <v/>
      </c>
      <c r="H47" s="46">
        <f>SUM(H37:H46)</f>
        <v/>
      </c>
      <c r="I47" s="4" t="n"/>
    </row>
    <row r="48" ht="15.75" customHeight="1" thickBot="1">
      <c r="B48" s="32" t="inlineStr">
        <is>
          <t>TOTAL</t>
        </is>
      </c>
      <c r="C48" s="12">
        <f>SUM(C47:D47)</f>
        <v/>
      </c>
      <c r="D48" s="64" t="n"/>
      <c r="E48" s="4" t="n"/>
      <c r="F48" s="32" t="inlineStr">
        <is>
          <t>TOTAL</t>
        </is>
      </c>
      <c r="G48" s="12">
        <f>SUM(G47:H47)</f>
        <v/>
      </c>
      <c r="H48" s="64" t="n"/>
      <c r="I48" s="4" t="n"/>
    </row>
    <row r="49" ht="15.75" customHeight="1">
      <c r="E49" s="4" t="n"/>
      <c r="I49" s="4" t="n"/>
    </row>
    <row r="50" ht="15.75" customHeight="1" thickBot="1">
      <c r="I50" s="4" t="n"/>
    </row>
    <row r="51" ht="15.75" customHeight="1">
      <c r="B51" s="37" t="inlineStr">
        <is>
          <t>MESA 07</t>
        </is>
      </c>
      <c r="C51" s="60" t="n"/>
      <c r="D51" s="61" t="n"/>
      <c r="F51" s="37" t="inlineStr">
        <is>
          <t>MESA 08</t>
        </is>
      </c>
      <c r="G51" s="60" t="n"/>
      <c r="H51" s="61" t="n"/>
      <c r="J51" s="27" t="n"/>
    </row>
    <row r="52" ht="15.75" customHeight="1">
      <c r="B52" s="40" t="inlineStr">
        <is>
          <t>NOME</t>
        </is>
      </c>
      <c r="C52" s="36" t="inlineStr">
        <is>
          <t>ADULTO</t>
        </is>
      </c>
      <c r="D52" s="41" t="inlineStr">
        <is>
          <t>CRIANÇA</t>
        </is>
      </c>
      <c r="F52" s="40" t="inlineStr">
        <is>
          <t>NOME</t>
        </is>
      </c>
      <c r="G52" s="36" t="inlineStr">
        <is>
          <t>ADULTO</t>
        </is>
      </c>
      <c r="H52" s="41" t="inlineStr">
        <is>
          <t>CRIANÇA</t>
        </is>
      </c>
      <c r="J52" s="27" t="n"/>
      <c r="K52" s="27" t="n"/>
      <c r="L52" s="27" t="n"/>
    </row>
    <row r="53" ht="15.75" customHeight="1">
      <c r="B53" s="42" t="inlineStr">
        <is>
          <t xml:space="preserve">1- </t>
        </is>
      </c>
      <c r="C53" s="14" t="n"/>
      <c r="D53" s="43" t="n"/>
      <c r="F53" s="42" t="inlineStr">
        <is>
          <t xml:space="preserve">1- </t>
        </is>
      </c>
      <c r="G53" s="14" t="n"/>
      <c r="H53" s="43" t="n"/>
      <c r="J53" s="28" t="n"/>
      <c r="K53" s="29" t="n"/>
      <c r="L53" s="29" t="n"/>
    </row>
    <row r="54" ht="15.75" customHeight="1">
      <c r="B54" s="42" t="inlineStr">
        <is>
          <t xml:space="preserve">2- </t>
        </is>
      </c>
      <c r="C54" s="14" t="n"/>
      <c r="D54" s="43" t="n"/>
      <c r="F54" s="42" t="inlineStr">
        <is>
          <t xml:space="preserve">2- </t>
        </is>
      </c>
      <c r="G54" s="14" t="n"/>
      <c r="H54" s="43" t="n"/>
      <c r="J54" s="28" t="n"/>
      <c r="K54" s="29" t="n"/>
      <c r="L54" s="29" t="n"/>
    </row>
    <row r="55" ht="15.75" customHeight="1">
      <c r="B55" s="42" t="inlineStr">
        <is>
          <t xml:space="preserve">3- </t>
        </is>
      </c>
      <c r="C55" s="14" t="n"/>
      <c r="D55" s="43" t="n"/>
      <c r="F55" s="42" t="inlineStr">
        <is>
          <t xml:space="preserve">3- </t>
        </is>
      </c>
      <c r="G55" s="14" t="n"/>
      <c r="H55" s="43" t="n"/>
      <c r="J55" s="28" t="n"/>
      <c r="K55" s="29" t="n"/>
      <c r="L55" s="29" t="n"/>
    </row>
    <row r="56" ht="15.75" customHeight="1">
      <c r="B56" s="42" t="inlineStr">
        <is>
          <t xml:space="preserve">4- </t>
        </is>
      </c>
      <c r="C56" s="14" t="n"/>
      <c r="D56" s="43" t="n"/>
      <c r="F56" s="42" t="inlineStr">
        <is>
          <t xml:space="preserve">4- </t>
        </is>
      </c>
      <c r="G56" s="14" t="n"/>
      <c r="H56" s="43" t="n"/>
      <c r="J56" s="28" t="n"/>
      <c r="K56" s="29" t="n"/>
      <c r="L56" s="29" t="n"/>
    </row>
    <row r="57" ht="15.75" customHeight="1">
      <c r="B57" s="42" t="inlineStr">
        <is>
          <t xml:space="preserve">5- </t>
        </is>
      </c>
      <c r="C57" s="14" t="n"/>
      <c r="D57" s="43" t="n"/>
      <c r="F57" s="42" t="inlineStr">
        <is>
          <t xml:space="preserve">5- </t>
        </is>
      </c>
      <c r="G57" s="14" t="n"/>
      <c r="H57" s="43" t="n"/>
      <c r="J57" s="28" t="n"/>
      <c r="K57" s="29" t="n"/>
      <c r="L57" s="29" t="n"/>
    </row>
    <row r="58" ht="15.75" customHeight="1">
      <c r="B58" s="42" t="inlineStr">
        <is>
          <t xml:space="preserve">6- </t>
        </is>
      </c>
      <c r="C58" s="14" t="n"/>
      <c r="D58" s="43" t="n"/>
      <c r="F58" s="42" t="inlineStr">
        <is>
          <t xml:space="preserve">6- </t>
        </is>
      </c>
      <c r="G58" s="14" t="n"/>
      <c r="H58" s="43" t="n"/>
      <c r="J58" s="28" t="n"/>
      <c r="K58" s="29" t="n"/>
      <c r="L58" s="29" t="n"/>
    </row>
    <row r="59" ht="15.75" customHeight="1">
      <c r="B59" s="42" t="inlineStr">
        <is>
          <t xml:space="preserve">7- </t>
        </is>
      </c>
      <c r="C59" s="14" t="n"/>
      <c r="D59" s="43" t="n"/>
      <c r="F59" s="42" t="inlineStr">
        <is>
          <t xml:space="preserve">7- </t>
        </is>
      </c>
      <c r="G59" s="14" t="n"/>
      <c r="H59" s="43" t="n"/>
      <c r="J59" s="28" t="n"/>
      <c r="K59" s="29" t="n"/>
      <c r="L59" s="29" t="n"/>
    </row>
    <row r="60" ht="15.75" customHeight="1">
      <c r="B60" s="42" t="inlineStr">
        <is>
          <t>8-</t>
        </is>
      </c>
      <c r="C60" s="14" t="n"/>
      <c r="D60" s="43" t="n"/>
      <c r="F60" s="42" t="inlineStr">
        <is>
          <t>8-</t>
        </is>
      </c>
      <c r="G60" s="14" t="n"/>
      <c r="H60" s="43" t="n"/>
      <c r="J60" s="28" t="n"/>
      <c r="K60" s="29" t="n"/>
      <c r="L60" s="29" t="n"/>
    </row>
    <row r="61" ht="15.75" customHeight="1">
      <c r="B61" s="42" t="inlineStr">
        <is>
          <t>9-</t>
        </is>
      </c>
      <c r="C61" s="16" t="n"/>
      <c r="D61" s="50" t="n"/>
      <c r="F61" s="42" t="inlineStr">
        <is>
          <t>9-</t>
        </is>
      </c>
      <c r="G61" s="14" t="n"/>
      <c r="H61" s="43" t="n"/>
      <c r="J61" s="28" t="n"/>
      <c r="K61" s="30" t="n"/>
      <c r="L61" s="30" t="n"/>
    </row>
    <row r="62" ht="15.75" customHeight="1">
      <c r="B62" s="42" t="inlineStr">
        <is>
          <t>10-</t>
        </is>
      </c>
      <c r="C62" s="16" t="n"/>
      <c r="D62" s="50" t="n"/>
      <c r="F62" s="42" t="inlineStr">
        <is>
          <t>10-</t>
        </is>
      </c>
      <c r="G62" s="14" t="n"/>
      <c r="H62" s="43" t="n"/>
      <c r="J62" s="28" t="n"/>
      <c r="K62" s="30" t="n"/>
      <c r="L62" s="30" t="n"/>
    </row>
    <row r="63" ht="15.75" customHeight="1" thickBot="1">
      <c r="B63" s="44" t="inlineStr">
        <is>
          <t>QUANTIDADE</t>
        </is>
      </c>
      <c r="C63" s="45">
        <f>SUM(C53:C62)</f>
        <v/>
      </c>
      <c r="D63" s="46">
        <f>SUM(D53:D62)</f>
        <v/>
      </c>
      <c r="F63" s="44" t="inlineStr">
        <is>
          <t>QUANTIDADE</t>
        </is>
      </c>
      <c r="G63" s="45">
        <f>SUM(G53:G62)</f>
        <v/>
      </c>
      <c r="H63" s="46">
        <f>SUM(H53:H62)</f>
        <v/>
      </c>
      <c r="J63" s="31" t="n"/>
      <c r="K63" s="27" t="n"/>
      <c r="L63" s="27" t="n"/>
    </row>
    <row r="64" ht="15.75" customHeight="1" thickBot="1">
      <c r="B64" s="32" t="inlineStr">
        <is>
          <t>TOTAL</t>
        </is>
      </c>
      <c r="C64" s="12">
        <f>SUM(C63:D63)</f>
        <v/>
      </c>
      <c r="D64" s="64" t="n"/>
      <c r="F64" s="32" t="inlineStr">
        <is>
          <t>TOTAL</t>
        </is>
      </c>
      <c r="G64" s="12">
        <f>SUM(G63:H63)</f>
        <v/>
      </c>
      <c r="H64" s="64" t="n"/>
      <c r="J64" s="32" t="n"/>
      <c r="K64" s="27" t="n"/>
    </row>
    <row r="65" ht="15.75" customHeight="1"/>
    <row r="66" ht="15.75" customHeight="1" thickBot="1"/>
    <row r="67" ht="15.75" customHeight="1">
      <c r="B67" s="37" t="inlineStr">
        <is>
          <t>MESA 09</t>
        </is>
      </c>
      <c r="C67" s="60" t="n"/>
      <c r="D67" s="61" t="n"/>
      <c r="F67" s="37" t="inlineStr">
        <is>
          <t>MESA 10</t>
        </is>
      </c>
      <c r="G67" s="60" t="n"/>
      <c r="H67" s="61" t="n"/>
    </row>
    <row r="68" ht="15.75" customHeight="1">
      <c r="B68" s="40" t="inlineStr">
        <is>
          <t>NOME</t>
        </is>
      </c>
      <c r="C68" s="36" t="inlineStr">
        <is>
          <t>ADULTO</t>
        </is>
      </c>
      <c r="D68" s="41" t="inlineStr">
        <is>
          <t>CRIANÇA</t>
        </is>
      </c>
      <c r="F68" s="40" t="inlineStr">
        <is>
          <t>NOME</t>
        </is>
      </c>
      <c r="G68" s="36" t="inlineStr">
        <is>
          <t>ADULTO</t>
        </is>
      </c>
      <c r="H68" s="41" t="inlineStr">
        <is>
          <t>CRIANÇA</t>
        </is>
      </c>
    </row>
    <row r="69" ht="15.75" customHeight="1">
      <c r="B69" s="42" t="inlineStr">
        <is>
          <t xml:space="preserve">1- </t>
        </is>
      </c>
      <c r="C69" s="14" t="n"/>
      <c r="D69" s="43" t="n"/>
      <c r="F69" s="42" t="inlineStr">
        <is>
          <t xml:space="preserve">1- </t>
        </is>
      </c>
      <c r="G69" s="14" t="n"/>
      <c r="H69" s="43" t="n"/>
    </row>
    <row r="70" ht="15.75" customHeight="1">
      <c r="B70" s="42" t="inlineStr">
        <is>
          <t xml:space="preserve">2- </t>
        </is>
      </c>
      <c r="C70" s="14" t="n"/>
      <c r="D70" s="43" t="n"/>
      <c r="F70" s="42" t="inlineStr">
        <is>
          <t xml:space="preserve">2- </t>
        </is>
      </c>
      <c r="G70" s="14" t="n"/>
      <c r="H70" s="43" t="n"/>
    </row>
    <row r="71" ht="15.75" customHeight="1">
      <c r="B71" s="42" t="inlineStr">
        <is>
          <t xml:space="preserve">3- </t>
        </is>
      </c>
      <c r="C71" s="14" t="n"/>
      <c r="D71" s="43" t="n"/>
      <c r="F71" s="42" t="inlineStr">
        <is>
          <t xml:space="preserve">3- </t>
        </is>
      </c>
      <c r="G71" s="14" t="n"/>
      <c r="H71" s="43" t="n"/>
    </row>
    <row r="72" ht="18.75" customHeight="1">
      <c r="B72" s="42" t="inlineStr">
        <is>
          <t xml:space="preserve">4- </t>
        </is>
      </c>
      <c r="C72" s="14" t="n"/>
      <c r="D72" s="43" t="n"/>
      <c r="F72" s="42" t="inlineStr">
        <is>
          <t xml:space="preserve">4- </t>
        </is>
      </c>
      <c r="G72" s="14" t="n"/>
      <c r="H72" s="43" t="n"/>
    </row>
    <row r="73" ht="14.4" customHeight="1">
      <c r="B73" s="42" t="inlineStr">
        <is>
          <t xml:space="preserve">5- </t>
        </is>
      </c>
      <c r="C73" s="14" t="n"/>
      <c r="D73" s="43" t="n"/>
      <c r="F73" s="42" t="inlineStr">
        <is>
          <t xml:space="preserve">5- </t>
        </is>
      </c>
      <c r="G73" s="14" t="n"/>
      <c r="H73" s="43" t="n"/>
    </row>
    <row r="74" ht="15.75" customHeight="1">
      <c r="B74" s="42" t="inlineStr">
        <is>
          <t xml:space="preserve">6- </t>
        </is>
      </c>
      <c r="C74" s="14" t="n"/>
      <c r="D74" s="43" t="n"/>
      <c r="F74" s="42" t="inlineStr">
        <is>
          <t xml:space="preserve">6- </t>
        </is>
      </c>
      <c r="G74" s="14" t="n"/>
      <c r="H74" s="43" t="n"/>
    </row>
    <row r="75" ht="15.75" customHeight="1">
      <c r="B75" s="42" t="inlineStr">
        <is>
          <t xml:space="preserve">7- </t>
        </is>
      </c>
      <c r="C75" s="14" t="n"/>
      <c r="D75" s="43" t="n"/>
      <c r="F75" s="42" t="inlineStr">
        <is>
          <t xml:space="preserve">7- </t>
        </is>
      </c>
      <c r="G75" s="14" t="n"/>
      <c r="H75" s="43" t="n"/>
    </row>
    <row r="76" ht="15.75" customHeight="1">
      <c r="B76" s="42" t="inlineStr">
        <is>
          <t>8-</t>
        </is>
      </c>
      <c r="C76" s="14" t="n"/>
      <c r="D76" s="43" t="n"/>
      <c r="F76" s="42" t="inlineStr">
        <is>
          <t>8-</t>
        </is>
      </c>
      <c r="G76" s="14" t="n"/>
      <c r="H76" s="43" t="n"/>
    </row>
    <row r="77" ht="15.75" customHeight="1">
      <c r="B77" s="42" t="inlineStr">
        <is>
          <t>9-</t>
        </is>
      </c>
      <c r="C77" s="16" t="n"/>
      <c r="D77" s="50" t="n"/>
      <c r="F77" s="42" t="inlineStr">
        <is>
          <t>9-</t>
        </is>
      </c>
      <c r="G77" s="14" t="n"/>
      <c r="H77" s="43" t="n"/>
    </row>
    <row r="78" ht="15.75" customHeight="1">
      <c r="B78" s="42" t="inlineStr">
        <is>
          <t>10-</t>
        </is>
      </c>
      <c r="C78" s="16" t="n"/>
      <c r="D78" s="50" t="n"/>
      <c r="F78" s="42" t="inlineStr">
        <is>
          <t>10-</t>
        </is>
      </c>
      <c r="G78" s="14" t="n"/>
      <c r="H78" s="43" t="n"/>
    </row>
    <row r="79" ht="15.75" customHeight="1" thickBot="1">
      <c r="B79" s="44" t="inlineStr">
        <is>
          <t>QUANTIDADE</t>
        </is>
      </c>
      <c r="C79" s="45">
        <f>SUM(C69:C78)</f>
        <v/>
      </c>
      <c r="D79" s="46">
        <f>SUM(D69:D78)</f>
        <v/>
      </c>
      <c r="F79" s="44" t="inlineStr">
        <is>
          <t>QUANTIDADE</t>
        </is>
      </c>
      <c r="G79" s="45">
        <f>SUM(G69:G78)</f>
        <v/>
      </c>
      <c r="H79" s="46">
        <f>SUM(H69:H78)</f>
        <v/>
      </c>
    </row>
    <row r="80" ht="15.75" customHeight="1" thickBot="1">
      <c r="B80" s="32" t="inlineStr">
        <is>
          <t>TOTAL</t>
        </is>
      </c>
      <c r="C80" s="12">
        <f>SUM(C79:D79)</f>
        <v/>
      </c>
      <c r="D80" s="64" t="n"/>
      <c r="F80" s="32" t="inlineStr">
        <is>
          <t>TOTAL</t>
        </is>
      </c>
      <c r="G80" s="12">
        <f>SUM(G79:H79)</f>
        <v/>
      </c>
      <c r="H80" s="64" t="n"/>
    </row>
    <row r="81" ht="15.75" customHeight="1"/>
    <row r="82" ht="15.75" customHeight="1" thickBot="1"/>
    <row r="83" ht="15.75" customHeight="1">
      <c r="B83" s="37" t="inlineStr">
        <is>
          <t>MESA 11</t>
        </is>
      </c>
      <c r="C83" s="60" t="n"/>
      <c r="D83" s="61" t="n"/>
      <c r="F83" s="37" t="inlineStr">
        <is>
          <t>MESA 12</t>
        </is>
      </c>
      <c r="G83" s="60" t="n"/>
      <c r="H83" s="61" t="n"/>
    </row>
    <row r="84" ht="15.75" customHeight="1">
      <c r="B84" s="40" t="inlineStr">
        <is>
          <t>NOME</t>
        </is>
      </c>
      <c r="C84" s="36" t="inlineStr">
        <is>
          <t>ADULTO</t>
        </is>
      </c>
      <c r="D84" s="41" t="inlineStr">
        <is>
          <t>CRIANÇA</t>
        </is>
      </c>
      <c r="F84" s="40" t="inlineStr">
        <is>
          <t>NOME</t>
        </is>
      </c>
      <c r="G84" s="36" t="inlineStr">
        <is>
          <t>ADULTO</t>
        </is>
      </c>
      <c r="H84" s="41" t="inlineStr">
        <is>
          <t>CRIANÇA</t>
        </is>
      </c>
    </row>
    <row r="85" ht="15.75" customHeight="1">
      <c r="B85" s="42" t="inlineStr">
        <is>
          <t xml:space="preserve">1- </t>
        </is>
      </c>
      <c r="C85" s="14" t="n"/>
      <c r="D85" s="43" t="n"/>
      <c r="F85" s="42" t="inlineStr">
        <is>
          <t xml:space="preserve">1- </t>
        </is>
      </c>
      <c r="G85" s="14" t="n"/>
      <c r="H85" s="43" t="n"/>
    </row>
    <row r="86" ht="15.75" customHeight="1">
      <c r="B86" s="42" t="inlineStr">
        <is>
          <t xml:space="preserve">2- </t>
        </is>
      </c>
      <c r="C86" s="14" t="n"/>
      <c r="D86" s="43" t="n"/>
      <c r="F86" s="42" t="inlineStr">
        <is>
          <t xml:space="preserve">2- </t>
        </is>
      </c>
      <c r="G86" s="14" t="n"/>
      <c r="H86" s="43" t="n"/>
    </row>
    <row r="87" ht="15.75" customHeight="1">
      <c r="B87" s="42" t="inlineStr">
        <is>
          <t xml:space="preserve">3- </t>
        </is>
      </c>
      <c r="C87" s="14" t="n"/>
      <c r="D87" s="43" t="n"/>
      <c r="F87" s="42" t="inlineStr">
        <is>
          <t xml:space="preserve">3- </t>
        </is>
      </c>
      <c r="G87" s="14" t="n"/>
      <c r="H87" s="43" t="n"/>
    </row>
    <row r="88" ht="15.75" customHeight="1">
      <c r="B88" s="42" t="inlineStr">
        <is>
          <t xml:space="preserve">4- </t>
        </is>
      </c>
      <c r="C88" s="14" t="n"/>
      <c r="D88" s="43" t="n"/>
      <c r="F88" s="42" t="inlineStr">
        <is>
          <t xml:space="preserve">4- </t>
        </is>
      </c>
      <c r="G88" s="14" t="n"/>
      <c r="H88" s="43" t="n"/>
    </row>
    <row r="89" ht="15.75" customHeight="1">
      <c r="B89" s="42" t="inlineStr">
        <is>
          <t xml:space="preserve">5- </t>
        </is>
      </c>
      <c r="C89" s="14" t="n"/>
      <c r="D89" s="43" t="n"/>
      <c r="F89" s="42" t="inlineStr">
        <is>
          <t xml:space="preserve">5- </t>
        </is>
      </c>
      <c r="G89" s="14" t="n"/>
      <c r="H89" s="43" t="n"/>
    </row>
    <row r="90" ht="15.75" customHeight="1">
      <c r="B90" s="42" t="inlineStr">
        <is>
          <t xml:space="preserve">6- </t>
        </is>
      </c>
      <c r="C90" s="14" t="n"/>
      <c r="D90" s="43" t="n"/>
      <c r="F90" s="42" t="inlineStr">
        <is>
          <t xml:space="preserve">6- </t>
        </is>
      </c>
      <c r="G90" s="14" t="n"/>
      <c r="H90" s="43" t="n"/>
    </row>
    <row r="91" ht="15.75" customHeight="1">
      <c r="B91" s="42" t="inlineStr">
        <is>
          <t xml:space="preserve">7- </t>
        </is>
      </c>
      <c r="C91" s="14" t="n"/>
      <c r="D91" s="43" t="n"/>
      <c r="F91" s="42" t="inlineStr">
        <is>
          <t xml:space="preserve">7- </t>
        </is>
      </c>
      <c r="G91" s="14" t="n"/>
      <c r="H91" s="43" t="n"/>
    </row>
    <row r="92" ht="15.75" customHeight="1">
      <c r="B92" s="42" t="inlineStr">
        <is>
          <t>8-</t>
        </is>
      </c>
      <c r="C92" s="14" t="n"/>
      <c r="D92" s="43" t="n"/>
      <c r="F92" s="42" t="inlineStr">
        <is>
          <t>8-</t>
        </is>
      </c>
      <c r="G92" s="16" t="n"/>
      <c r="H92" s="50" t="n"/>
    </row>
    <row r="93" ht="15.75" customHeight="1">
      <c r="B93" s="42" t="inlineStr">
        <is>
          <t>9-</t>
        </is>
      </c>
      <c r="C93" s="14" t="n"/>
      <c r="D93" s="43" t="n"/>
      <c r="F93" s="42" t="inlineStr">
        <is>
          <t>9-</t>
        </is>
      </c>
      <c r="G93" s="16" t="n"/>
      <c r="H93" s="50" t="n"/>
    </row>
    <row r="94" ht="15.75" customHeight="1">
      <c r="B94" s="42" t="inlineStr">
        <is>
          <t>10-</t>
        </is>
      </c>
      <c r="C94" s="14" t="n"/>
      <c r="D94" s="43" t="n"/>
      <c r="F94" s="42" t="inlineStr">
        <is>
          <t>10-</t>
        </is>
      </c>
      <c r="G94" s="16" t="n"/>
      <c r="H94" s="50" t="n"/>
    </row>
    <row r="95" ht="15.75" customHeight="1" thickBot="1">
      <c r="B95" s="44" t="inlineStr">
        <is>
          <t>QUANTIDADE</t>
        </is>
      </c>
      <c r="C95" s="45">
        <f>SUM(C85:C94)</f>
        <v/>
      </c>
      <c r="D95" s="46">
        <f>SUM(D85:D94)</f>
        <v/>
      </c>
      <c r="F95" s="44" t="inlineStr">
        <is>
          <t>QUANTIDADE</t>
        </is>
      </c>
      <c r="G95" s="45">
        <f>SUM(G85:G94)</f>
        <v/>
      </c>
      <c r="H95" s="46">
        <f>SUM(H85:H94)</f>
        <v/>
      </c>
    </row>
    <row r="96" ht="15.75" customHeight="1" thickBot="1">
      <c r="B96" s="32" t="inlineStr">
        <is>
          <t>TOTAL</t>
        </is>
      </c>
      <c r="C96" s="12">
        <f>SUM(C95:D95)</f>
        <v/>
      </c>
      <c r="D96" s="64" t="n"/>
      <c r="F96" s="32" t="inlineStr">
        <is>
          <t>TOTAL</t>
        </is>
      </c>
      <c r="G96" s="12">
        <f>SUM(G95:H95)</f>
        <v/>
      </c>
      <c r="H96" s="64" t="n"/>
    </row>
    <row r="97" ht="15.75" customHeight="1"/>
    <row r="98" ht="15.75" customHeight="1" thickBot="1"/>
    <row r="99" ht="15.75" customHeight="1">
      <c r="B99" s="37" t="inlineStr">
        <is>
          <t>MESA 13</t>
        </is>
      </c>
      <c r="C99" s="60" t="n"/>
      <c r="D99" s="61" t="n"/>
      <c r="F99" s="37" t="inlineStr">
        <is>
          <t>MESA 14</t>
        </is>
      </c>
      <c r="G99" s="60" t="n"/>
      <c r="H99" s="61" t="n"/>
    </row>
    <row r="100" ht="15.75" customHeight="1">
      <c r="B100" s="40" t="inlineStr">
        <is>
          <t>NOME</t>
        </is>
      </c>
      <c r="C100" s="36" t="inlineStr">
        <is>
          <t>ADULTO</t>
        </is>
      </c>
      <c r="D100" s="41" t="inlineStr">
        <is>
          <t>CRIANÇA</t>
        </is>
      </c>
      <c r="F100" s="40" t="inlineStr">
        <is>
          <t>NOME</t>
        </is>
      </c>
      <c r="G100" s="36" t="inlineStr">
        <is>
          <t>ADULTO</t>
        </is>
      </c>
      <c r="H100" s="41" t="inlineStr">
        <is>
          <t>CRIANÇA</t>
        </is>
      </c>
    </row>
    <row r="101" ht="15.75" customHeight="1">
      <c r="B101" s="42" t="inlineStr">
        <is>
          <t xml:space="preserve">1- </t>
        </is>
      </c>
      <c r="C101" s="14" t="n"/>
      <c r="D101" s="43" t="n"/>
      <c r="F101" s="42" t="inlineStr">
        <is>
          <t xml:space="preserve">1- </t>
        </is>
      </c>
      <c r="G101" s="14" t="n"/>
      <c r="H101" s="43" t="n"/>
    </row>
    <row r="102" ht="15.75" customHeight="1">
      <c r="B102" s="42" t="inlineStr">
        <is>
          <t xml:space="preserve">2- </t>
        </is>
      </c>
      <c r="C102" s="14" t="n"/>
      <c r="D102" s="43" t="n"/>
      <c r="F102" s="42" t="inlineStr">
        <is>
          <t xml:space="preserve">2- </t>
        </is>
      </c>
      <c r="G102" s="14" t="n"/>
      <c r="H102" s="43" t="n"/>
    </row>
    <row r="103" ht="15.75" customHeight="1">
      <c r="B103" s="42" t="inlineStr">
        <is>
          <t xml:space="preserve">3- </t>
        </is>
      </c>
      <c r="C103" s="14" t="n"/>
      <c r="D103" s="43" t="n"/>
      <c r="F103" s="42" t="inlineStr">
        <is>
          <t xml:space="preserve">3- </t>
        </is>
      </c>
      <c r="G103" s="14" t="n"/>
      <c r="H103" s="43" t="n"/>
    </row>
    <row r="104" ht="15.75" customHeight="1">
      <c r="B104" s="42" t="inlineStr">
        <is>
          <t xml:space="preserve">4- </t>
        </is>
      </c>
      <c r="C104" s="14" t="n"/>
      <c r="D104" s="43" t="n"/>
      <c r="F104" s="42" t="inlineStr">
        <is>
          <t xml:space="preserve">4- </t>
        </is>
      </c>
      <c r="G104" s="14" t="n"/>
      <c r="H104" s="43" t="n"/>
    </row>
    <row r="105" ht="15.75" customHeight="1">
      <c r="B105" s="42" t="inlineStr">
        <is>
          <t xml:space="preserve">5- </t>
        </is>
      </c>
      <c r="C105" s="14" t="n"/>
      <c r="D105" s="43" t="n"/>
      <c r="F105" s="42" t="inlineStr">
        <is>
          <t xml:space="preserve">5- </t>
        </is>
      </c>
      <c r="G105" s="14" t="n"/>
      <c r="H105" s="43" t="n"/>
    </row>
    <row r="106" ht="15.75" customHeight="1">
      <c r="B106" s="42" t="inlineStr">
        <is>
          <t xml:space="preserve">6- </t>
        </is>
      </c>
      <c r="C106" s="14" t="n"/>
      <c r="D106" s="43" t="n"/>
      <c r="F106" s="42" t="inlineStr">
        <is>
          <t xml:space="preserve">6- </t>
        </is>
      </c>
      <c r="G106" s="14" t="n"/>
      <c r="H106" s="43" t="n"/>
    </row>
    <row r="107" ht="15.75" customHeight="1">
      <c r="B107" s="42" t="inlineStr">
        <is>
          <t xml:space="preserve">7- </t>
        </is>
      </c>
      <c r="C107" s="14" t="n"/>
      <c r="D107" s="43" t="n"/>
      <c r="F107" s="42" t="inlineStr">
        <is>
          <t xml:space="preserve">7- </t>
        </is>
      </c>
      <c r="G107" s="14" t="n"/>
      <c r="H107" s="43" t="n"/>
    </row>
    <row r="108" ht="15.75" customHeight="1">
      <c r="B108" s="42" t="inlineStr">
        <is>
          <t>8-</t>
        </is>
      </c>
      <c r="C108" s="14" t="n"/>
      <c r="D108" s="43" t="n"/>
      <c r="F108" s="42" t="inlineStr">
        <is>
          <t>8-</t>
        </is>
      </c>
      <c r="G108" s="14" t="n"/>
      <c r="H108" s="43" t="n"/>
    </row>
    <row r="109" ht="15.75" customHeight="1">
      <c r="B109" s="42" t="inlineStr">
        <is>
          <t>9-</t>
        </is>
      </c>
      <c r="C109" s="14" t="n"/>
      <c r="D109" s="43" t="n"/>
      <c r="F109" s="42" t="inlineStr">
        <is>
          <t>9-</t>
        </is>
      </c>
      <c r="G109" s="14" t="n"/>
      <c r="H109" s="43" t="n"/>
    </row>
    <row r="110" ht="15.75" customHeight="1">
      <c r="B110" s="42" t="inlineStr">
        <is>
          <t>10-</t>
        </is>
      </c>
      <c r="C110" s="16" t="n"/>
      <c r="D110" s="50" t="n"/>
      <c r="F110" s="42" t="inlineStr">
        <is>
          <t>10-</t>
        </is>
      </c>
      <c r="G110" s="14" t="n"/>
      <c r="H110" s="43" t="n"/>
    </row>
    <row r="111" ht="15.75" customHeight="1" thickBot="1">
      <c r="B111" s="44" t="inlineStr">
        <is>
          <t>QUANTIDADE</t>
        </is>
      </c>
      <c r="C111" s="45">
        <f>SUM(C101:C110)</f>
        <v/>
      </c>
      <c r="D111" s="46">
        <f>SUM(D101:D110)</f>
        <v/>
      </c>
      <c r="F111" s="44" t="inlineStr">
        <is>
          <t>QUANTIDADE</t>
        </is>
      </c>
      <c r="G111" s="45">
        <f>SUM(G101:G110)</f>
        <v/>
      </c>
      <c r="H111" s="46">
        <f>SUM(H101:H110)</f>
        <v/>
      </c>
    </row>
    <row r="112" ht="15.75" customHeight="1" thickBot="1">
      <c r="B112" s="32" t="inlineStr">
        <is>
          <t>TOTAL</t>
        </is>
      </c>
      <c r="C112" s="54">
        <f>SUM(C111:D111)</f>
        <v/>
      </c>
      <c r="D112" s="55" t="n"/>
      <c r="F112" s="32" t="inlineStr">
        <is>
          <t>TOTAL</t>
        </is>
      </c>
      <c r="G112" s="12">
        <f>SUM(G111:H111)</f>
        <v/>
      </c>
      <c r="H112" s="64" t="n"/>
    </row>
    <row r="113" ht="15.75" customHeight="1"/>
    <row r="114" ht="15.75" customHeight="1" thickBot="1"/>
    <row r="115" ht="15.75" customHeight="1">
      <c r="B115" s="37" t="inlineStr">
        <is>
          <t>MESA 15</t>
        </is>
      </c>
      <c r="C115" s="60" t="n"/>
      <c r="D115" s="61" t="n"/>
      <c r="F115" s="37" t="inlineStr">
        <is>
          <t>MESA 16</t>
        </is>
      </c>
      <c r="G115" s="60" t="n"/>
      <c r="H115" s="61" t="n"/>
    </row>
    <row r="116" ht="15.75" customHeight="1">
      <c r="B116" s="40" t="inlineStr">
        <is>
          <t>NOME</t>
        </is>
      </c>
      <c r="C116" s="36" t="inlineStr">
        <is>
          <t>ADULTO</t>
        </is>
      </c>
      <c r="D116" s="41" t="inlineStr">
        <is>
          <t>CRIANÇA</t>
        </is>
      </c>
      <c r="F116" s="40" t="inlineStr">
        <is>
          <t>NOME</t>
        </is>
      </c>
      <c r="G116" s="36" t="inlineStr">
        <is>
          <t>ADULTO</t>
        </is>
      </c>
      <c r="H116" s="41" t="inlineStr">
        <is>
          <t>CRIANÇA</t>
        </is>
      </c>
    </row>
    <row r="117" ht="15.75" customHeight="1">
      <c r="B117" s="42" t="inlineStr">
        <is>
          <t xml:space="preserve">1- </t>
        </is>
      </c>
      <c r="C117" s="14" t="n"/>
      <c r="D117" s="43" t="n"/>
      <c r="F117" s="42" t="inlineStr">
        <is>
          <t xml:space="preserve">1- </t>
        </is>
      </c>
      <c r="G117" s="14" t="n"/>
      <c r="H117" s="43" t="n"/>
    </row>
    <row r="118" ht="15.75" customHeight="1">
      <c r="B118" s="42" t="inlineStr">
        <is>
          <t xml:space="preserve">2- </t>
        </is>
      </c>
      <c r="C118" s="14" t="n"/>
      <c r="D118" s="43" t="n"/>
      <c r="F118" s="42" t="inlineStr">
        <is>
          <t xml:space="preserve">2- </t>
        </is>
      </c>
      <c r="G118" s="14" t="n"/>
      <c r="H118" s="43" t="n"/>
    </row>
    <row r="119" ht="15.75" customHeight="1">
      <c r="B119" s="42" t="inlineStr">
        <is>
          <t xml:space="preserve">3- </t>
        </is>
      </c>
      <c r="C119" s="14" t="n"/>
      <c r="D119" s="43" t="n"/>
      <c r="F119" s="42" t="inlineStr">
        <is>
          <t xml:space="preserve">3- </t>
        </is>
      </c>
      <c r="G119" s="14" t="n"/>
      <c r="H119" s="43" t="n"/>
    </row>
    <row r="120" ht="15.75" customHeight="1">
      <c r="B120" s="42" t="inlineStr">
        <is>
          <t xml:space="preserve">4- </t>
        </is>
      </c>
      <c r="C120" s="14" t="n"/>
      <c r="D120" s="43" t="n"/>
      <c r="F120" s="42" t="inlineStr">
        <is>
          <t xml:space="preserve">4- </t>
        </is>
      </c>
      <c r="G120" s="14" t="n"/>
      <c r="H120" s="43" t="n"/>
    </row>
    <row r="121" ht="15.75" customHeight="1">
      <c r="B121" s="42" t="inlineStr">
        <is>
          <t xml:space="preserve">5- </t>
        </is>
      </c>
      <c r="C121" s="14" t="n"/>
      <c r="D121" s="43" t="n"/>
      <c r="F121" s="42" t="inlineStr">
        <is>
          <t xml:space="preserve">5- </t>
        </is>
      </c>
      <c r="G121" s="14" t="n"/>
      <c r="H121" s="43" t="n"/>
    </row>
    <row r="122" ht="15.75" customHeight="1">
      <c r="B122" s="42" t="inlineStr">
        <is>
          <t xml:space="preserve">6- </t>
        </is>
      </c>
      <c r="C122" s="14" t="n"/>
      <c r="D122" s="43" t="n"/>
      <c r="F122" s="42" t="inlineStr">
        <is>
          <t xml:space="preserve">6- </t>
        </is>
      </c>
      <c r="G122" s="14" t="n"/>
      <c r="H122" s="43" t="n"/>
    </row>
    <row r="123" ht="15.75" customHeight="1">
      <c r="B123" s="42" t="inlineStr">
        <is>
          <t xml:space="preserve">7- </t>
        </is>
      </c>
      <c r="C123" s="14" t="n"/>
      <c r="D123" s="43" t="n"/>
      <c r="F123" s="42" t="inlineStr">
        <is>
          <t xml:space="preserve">7- </t>
        </is>
      </c>
      <c r="G123" s="14" t="n"/>
      <c r="H123" s="43" t="n"/>
    </row>
    <row r="124" ht="15.75" customHeight="1">
      <c r="B124" s="42" t="inlineStr">
        <is>
          <t>8-</t>
        </is>
      </c>
      <c r="C124" s="14" t="n"/>
      <c r="D124" s="43" t="n"/>
      <c r="F124" s="42" t="inlineStr">
        <is>
          <t>8-</t>
        </is>
      </c>
      <c r="G124" s="14" t="n"/>
      <c r="H124" s="43" t="n"/>
    </row>
    <row r="125" ht="15.75" customHeight="1">
      <c r="B125" s="42" t="inlineStr">
        <is>
          <t>9-</t>
        </is>
      </c>
      <c r="C125" s="16" t="n"/>
      <c r="D125" s="50" t="n"/>
      <c r="F125" s="42" t="inlineStr">
        <is>
          <t>9-</t>
        </is>
      </c>
      <c r="G125" s="16" t="n"/>
      <c r="H125" s="50" t="n"/>
    </row>
    <row r="126" ht="15.75" customHeight="1" thickBot="1">
      <c r="B126" s="42" t="inlineStr">
        <is>
          <t>10-</t>
        </is>
      </c>
      <c r="C126" s="16" t="n"/>
      <c r="D126" s="50" t="n"/>
      <c r="F126" s="56" t="inlineStr">
        <is>
          <t>10-</t>
        </is>
      </c>
      <c r="G126" s="57" t="n"/>
      <c r="H126" s="58" t="n"/>
    </row>
    <row r="127" ht="15.75" customHeight="1" thickBot="1">
      <c r="B127" s="44" t="inlineStr">
        <is>
          <t>Quantidade</t>
        </is>
      </c>
      <c r="C127" s="45">
        <f>SUM(C117:C126)</f>
        <v/>
      </c>
      <c r="D127" s="45">
        <f>SUM(D117:D126)</f>
        <v/>
      </c>
      <c r="F127" s="11" t="inlineStr">
        <is>
          <t>Quantidade</t>
        </is>
      </c>
      <c r="G127" s="12">
        <f>SUM(G117:G126)</f>
        <v/>
      </c>
      <c r="H127" s="12">
        <f>SUM(H117:H126)</f>
        <v/>
      </c>
    </row>
    <row r="128" ht="15.75" customHeight="1" thickBot="1">
      <c r="B128" s="32" t="inlineStr">
        <is>
          <t>TOTAL</t>
        </is>
      </c>
      <c r="C128" s="54">
        <f>SUM(C127:D127)</f>
        <v/>
      </c>
      <c r="D128" s="55" t="n"/>
      <c r="F128" s="2" t="inlineStr">
        <is>
          <t>TOTAL</t>
        </is>
      </c>
      <c r="G128" s="65">
        <f>SUM(G127:H127)</f>
        <v/>
      </c>
      <c r="H128" s="66" t="n"/>
    </row>
    <row r="129" ht="15.75" customHeight="1">
      <c r="B129" s="2" t="n"/>
      <c r="C129" s="27" t="n"/>
      <c r="D129" s="33" t="n"/>
      <c r="F129" s="2" t="n"/>
      <c r="G129" s="27" t="n"/>
      <c r="H129" s="33" t="n"/>
      <c r="J129" s="32" t="n"/>
      <c r="K129" s="27" t="n"/>
      <c r="L129" s="33" t="n"/>
    </row>
    <row r="130" ht="15.75" customHeight="1" thickBot="1"/>
    <row r="131" ht="15.75" customHeight="1">
      <c r="B131" s="37" t="inlineStr">
        <is>
          <t>MESA 17</t>
        </is>
      </c>
      <c r="C131" s="60" t="n"/>
      <c r="D131" s="61" t="n"/>
      <c r="F131" s="37" t="inlineStr">
        <is>
          <t>MESA 18</t>
        </is>
      </c>
      <c r="G131" s="60" t="n"/>
      <c r="H131" s="61" t="n"/>
    </row>
    <row r="132" ht="15.75" customHeight="1">
      <c r="B132" s="40" t="inlineStr">
        <is>
          <t>NOME</t>
        </is>
      </c>
      <c r="C132" s="36" t="inlineStr">
        <is>
          <t>ADULTO</t>
        </is>
      </c>
      <c r="D132" s="41" t="inlineStr">
        <is>
          <t>CRIANÇA</t>
        </is>
      </c>
      <c r="F132" s="40" t="inlineStr">
        <is>
          <t>NOME</t>
        </is>
      </c>
      <c r="G132" s="36" t="inlineStr">
        <is>
          <t>ADULTO</t>
        </is>
      </c>
      <c r="H132" s="41" t="inlineStr">
        <is>
          <t>CRIANÇA</t>
        </is>
      </c>
    </row>
    <row r="133" ht="15.75" customHeight="1">
      <c r="B133" s="42" t="inlineStr">
        <is>
          <t xml:space="preserve">1- </t>
        </is>
      </c>
      <c r="C133" s="14" t="n"/>
      <c r="D133" s="43" t="n"/>
      <c r="F133" s="42" t="inlineStr">
        <is>
          <t xml:space="preserve">1- </t>
        </is>
      </c>
      <c r="G133" s="14" t="n"/>
      <c r="H133" s="43" t="n"/>
    </row>
    <row r="134" ht="15.75" customHeight="1">
      <c r="B134" s="42" t="inlineStr">
        <is>
          <t xml:space="preserve">2- </t>
        </is>
      </c>
      <c r="C134" s="14" t="n"/>
      <c r="D134" s="43" t="n"/>
      <c r="F134" s="42" t="inlineStr">
        <is>
          <t xml:space="preserve">2- </t>
        </is>
      </c>
      <c r="G134" s="14" t="n"/>
      <c r="H134" s="43" t="n"/>
    </row>
    <row r="135" ht="15.75" customHeight="1">
      <c r="B135" s="42" t="inlineStr">
        <is>
          <t xml:space="preserve">3- </t>
        </is>
      </c>
      <c r="C135" s="14" t="n"/>
      <c r="D135" s="43" t="n"/>
      <c r="F135" s="42" t="inlineStr">
        <is>
          <t xml:space="preserve">3- </t>
        </is>
      </c>
      <c r="G135" s="14" t="n"/>
      <c r="H135" s="43" t="n"/>
    </row>
    <row r="136" ht="15.75" customHeight="1">
      <c r="B136" s="42" t="inlineStr">
        <is>
          <t xml:space="preserve">4- </t>
        </is>
      </c>
      <c r="C136" s="14" t="n"/>
      <c r="D136" s="43" t="n"/>
      <c r="F136" s="42" t="inlineStr">
        <is>
          <t xml:space="preserve">4- </t>
        </is>
      </c>
      <c r="G136" s="14" t="n"/>
      <c r="H136" s="43" t="n"/>
    </row>
    <row r="137" ht="15.75" customHeight="1">
      <c r="B137" s="42" t="inlineStr">
        <is>
          <t xml:space="preserve">5- </t>
        </is>
      </c>
      <c r="C137" s="14" t="n"/>
      <c r="D137" s="43" t="n"/>
      <c r="F137" s="42" t="inlineStr">
        <is>
          <t xml:space="preserve">5- </t>
        </is>
      </c>
      <c r="G137" s="14" t="n"/>
      <c r="H137" s="43" t="n"/>
    </row>
    <row r="138" ht="15.75" customHeight="1">
      <c r="B138" s="42" t="inlineStr">
        <is>
          <t xml:space="preserve">6- </t>
        </is>
      </c>
      <c r="C138" s="14" t="n"/>
      <c r="D138" s="43" t="n"/>
      <c r="F138" s="42" t="inlineStr">
        <is>
          <t xml:space="preserve">6- </t>
        </is>
      </c>
      <c r="G138" s="14" t="n"/>
      <c r="H138" s="43" t="n"/>
    </row>
    <row r="139" ht="15.75" customHeight="1">
      <c r="B139" s="42" t="inlineStr">
        <is>
          <t xml:space="preserve">7- </t>
        </is>
      </c>
      <c r="C139" s="14" t="n"/>
      <c r="D139" s="43" t="n"/>
      <c r="F139" s="42" t="inlineStr">
        <is>
          <t xml:space="preserve">7- </t>
        </is>
      </c>
      <c r="G139" s="14" t="n"/>
      <c r="H139" s="43" t="n"/>
    </row>
    <row r="140" ht="15.75" customHeight="1">
      <c r="B140" s="42" t="inlineStr">
        <is>
          <t>8-</t>
        </is>
      </c>
      <c r="C140" s="14" t="n"/>
      <c r="D140" s="43" t="n"/>
      <c r="F140" s="42" t="inlineStr">
        <is>
          <t>8-</t>
        </is>
      </c>
      <c r="G140" s="14" t="n"/>
      <c r="H140" s="43" t="n"/>
    </row>
    <row r="141" ht="15.75" customHeight="1">
      <c r="B141" s="42" t="inlineStr">
        <is>
          <t>9-</t>
        </is>
      </c>
      <c r="C141" s="14" t="n"/>
      <c r="D141" s="43" t="n"/>
      <c r="F141" s="42" t="inlineStr">
        <is>
          <t>9-</t>
        </is>
      </c>
      <c r="G141" s="14" t="n"/>
      <c r="H141" s="43" t="n"/>
    </row>
    <row r="142" ht="15.75" customHeight="1">
      <c r="B142" s="42" t="inlineStr">
        <is>
          <t>10-</t>
        </is>
      </c>
      <c r="C142" s="14" t="n"/>
      <c r="D142" s="43" t="n"/>
      <c r="F142" s="42" t="inlineStr">
        <is>
          <t>10-</t>
        </is>
      </c>
      <c r="G142" s="14" t="n"/>
      <c r="H142" s="43" t="n"/>
    </row>
    <row r="143" ht="15.75" customHeight="1" thickBot="1">
      <c r="B143" s="44" t="inlineStr">
        <is>
          <t>Quantidade</t>
        </is>
      </c>
      <c r="C143" s="45">
        <f>SUM(C133:C142)</f>
        <v/>
      </c>
      <c r="D143" s="45">
        <f>SUM(D133:D142)</f>
        <v/>
      </c>
      <c r="F143" s="44" t="inlineStr">
        <is>
          <t>Quantidade</t>
        </is>
      </c>
      <c r="G143" s="45">
        <f>SUM(G133:G142)</f>
        <v/>
      </c>
      <c r="H143" s="45">
        <f>SUM(H133:H142)</f>
        <v/>
      </c>
    </row>
    <row r="144" ht="15.75" customHeight="1" thickBot="1">
      <c r="B144" s="32" t="inlineStr">
        <is>
          <t>TOTAL</t>
        </is>
      </c>
      <c r="C144" s="62">
        <f>SUM(C143:D143)</f>
        <v/>
      </c>
      <c r="D144" s="63" t="n"/>
      <c r="F144" s="32" t="inlineStr">
        <is>
          <t>TOTAL</t>
        </is>
      </c>
      <c r="G144" s="62">
        <f>SUM(G143:H143)</f>
        <v/>
      </c>
      <c r="H144" s="63" t="n"/>
    </row>
    <row r="145" ht="15.75" customHeight="1">
      <c r="B145" s="32" t="n"/>
      <c r="C145" s="27" t="n"/>
      <c r="D145" s="33" t="n"/>
      <c r="F145" s="32" t="n"/>
      <c r="G145" s="27" t="n"/>
      <c r="H145" s="33" t="n"/>
      <c r="J145" s="32" t="n"/>
      <c r="K145" s="27" t="n"/>
      <c r="L145" s="33" t="n"/>
    </row>
    <row r="146" ht="15.75" customHeight="1" thickBot="1"/>
    <row r="147" ht="15.75" customHeight="1">
      <c r="B147" s="37" t="inlineStr">
        <is>
          <t>MESA 19</t>
        </is>
      </c>
      <c r="C147" s="60" t="n"/>
      <c r="D147" s="61" t="n"/>
      <c r="F147" s="37" t="inlineStr">
        <is>
          <t>MESA 20</t>
        </is>
      </c>
      <c r="G147" s="60" t="n"/>
      <c r="H147" s="61" t="n"/>
    </row>
    <row r="148" ht="15.75" customHeight="1">
      <c r="B148" s="40" t="inlineStr">
        <is>
          <t>NOME</t>
        </is>
      </c>
      <c r="C148" s="36" t="inlineStr">
        <is>
          <t>ADULTO</t>
        </is>
      </c>
      <c r="D148" s="41" t="inlineStr">
        <is>
          <t>CRIANÇA</t>
        </is>
      </c>
      <c r="F148" s="40" t="inlineStr">
        <is>
          <t>NOME</t>
        </is>
      </c>
      <c r="G148" s="36" t="inlineStr">
        <is>
          <t>ADULTO</t>
        </is>
      </c>
      <c r="H148" s="41" t="inlineStr">
        <is>
          <t>CRIANÇA</t>
        </is>
      </c>
    </row>
    <row r="149" ht="15.75" customHeight="1">
      <c r="B149" s="42" t="inlineStr">
        <is>
          <t xml:space="preserve">1- </t>
        </is>
      </c>
      <c r="C149" s="14" t="n"/>
      <c r="D149" s="43" t="n"/>
      <c r="F149" s="42" t="inlineStr">
        <is>
          <t xml:space="preserve">1- </t>
        </is>
      </c>
      <c r="G149" s="14" t="n"/>
      <c r="H149" s="43" t="n"/>
    </row>
    <row r="150" ht="15.75" customHeight="1">
      <c r="B150" s="42" t="inlineStr">
        <is>
          <t xml:space="preserve">2- </t>
        </is>
      </c>
      <c r="C150" s="14" t="n"/>
      <c r="D150" s="43" t="n"/>
      <c r="F150" s="42" t="inlineStr">
        <is>
          <t xml:space="preserve">2- </t>
        </is>
      </c>
      <c r="G150" s="14" t="n"/>
      <c r="H150" s="43" t="n"/>
    </row>
    <row r="151" ht="15.75" customHeight="1">
      <c r="B151" s="42" t="inlineStr">
        <is>
          <t xml:space="preserve">3- </t>
        </is>
      </c>
      <c r="C151" s="14" t="n"/>
      <c r="D151" s="43" t="n"/>
      <c r="F151" s="42" t="inlineStr">
        <is>
          <t xml:space="preserve">3- </t>
        </is>
      </c>
      <c r="G151" s="14" t="n"/>
      <c r="H151" s="43" t="n"/>
    </row>
    <row r="152" ht="15.75" customHeight="1">
      <c r="B152" s="42" t="inlineStr">
        <is>
          <t xml:space="preserve">4- </t>
        </is>
      </c>
      <c r="C152" s="14" t="n"/>
      <c r="D152" s="43" t="n"/>
      <c r="F152" s="42" t="inlineStr">
        <is>
          <t xml:space="preserve">4- </t>
        </is>
      </c>
      <c r="G152" s="14" t="n"/>
      <c r="H152" s="43" t="n"/>
    </row>
    <row r="153" ht="15.75" customHeight="1">
      <c r="B153" s="42" t="inlineStr">
        <is>
          <t xml:space="preserve">5- </t>
        </is>
      </c>
      <c r="C153" s="14" t="n"/>
      <c r="D153" s="43" t="n"/>
      <c r="F153" s="42" t="inlineStr">
        <is>
          <t xml:space="preserve">5- </t>
        </is>
      </c>
      <c r="G153" s="14" t="n"/>
      <c r="H153" s="43" t="n"/>
    </row>
    <row r="154" ht="15.75" customHeight="1">
      <c r="B154" s="42" t="inlineStr">
        <is>
          <t xml:space="preserve">6- </t>
        </is>
      </c>
      <c r="C154" s="14" t="n"/>
      <c r="D154" s="43" t="n"/>
      <c r="F154" s="42" t="inlineStr">
        <is>
          <t xml:space="preserve">6- </t>
        </is>
      </c>
      <c r="G154" s="14" t="n"/>
      <c r="H154" s="43" t="n"/>
    </row>
    <row r="155" ht="15.75" customHeight="1">
      <c r="B155" s="42" t="inlineStr">
        <is>
          <t xml:space="preserve">7- </t>
        </is>
      </c>
      <c r="C155" s="14" t="n"/>
      <c r="D155" s="43" t="n"/>
      <c r="F155" s="42" t="inlineStr">
        <is>
          <t xml:space="preserve">7- </t>
        </is>
      </c>
      <c r="G155" s="14" t="n"/>
      <c r="H155" s="43" t="n"/>
    </row>
    <row r="156" ht="15.75" customHeight="1">
      <c r="B156" s="42" t="inlineStr">
        <is>
          <t>8-</t>
        </is>
      </c>
      <c r="C156" s="14" t="n"/>
      <c r="D156" s="43" t="n"/>
      <c r="F156" s="42" t="inlineStr">
        <is>
          <t>8-</t>
        </is>
      </c>
      <c r="G156" s="14" t="n"/>
      <c r="H156" s="43" t="n"/>
    </row>
    <row r="157" ht="15.75" customHeight="1">
      <c r="B157" s="42" t="inlineStr">
        <is>
          <t>9-</t>
        </is>
      </c>
      <c r="C157" s="14" t="n"/>
      <c r="D157" s="43" t="n"/>
      <c r="F157" s="42" t="inlineStr">
        <is>
          <t>9-</t>
        </is>
      </c>
      <c r="G157" s="14" t="n"/>
      <c r="H157" s="43" t="n"/>
    </row>
    <row r="158" ht="15.75" customHeight="1">
      <c r="B158" s="42" t="inlineStr">
        <is>
          <t>10-</t>
        </is>
      </c>
      <c r="C158" s="14" t="n"/>
      <c r="D158" s="43" t="n"/>
      <c r="F158" s="42" t="inlineStr">
        <is>
          <t>10-</t>
        </is>
      </c>
      <c r="G158" s="14" t="n"/>
      <c r="H158" s="43" t="n"/>
    </row>
    <row r="159" ht="15.75" customHeight="1" thickBot="1">
      <c r="B159" s="44" t="inlineStr">
        <is>
          <t>Quantidade</t>
        </is>
      </c>
      <c r="C159" s="45">
        <f>SUM(C149:C158)</f>
        <v/>
      </c>
      <c r="D159" s="45">
        <f>SUM(D149:D158)</f>
        <v/>
      </c>
      <c r="F159" s="44" t="inlineStr">
        <is>
          <t>Quantidade</t>
        </is>
      </c>
      <c r="G159" s="45">
        <f>SUM(G149:G158)</f>
        <v/>
      </c>
      <c r="H159" s="45">
        <f>SUM(H149:H158)</f>
        <v/>
      </c>
    </row>
    <row r="160" ht="15.75" customHeight="1" thickBot="1">
      <c r="B160" s="32" t="inlineStr">
        <is>
          <t>TOTAL</t>
        </is>
      </c>
      <c r="C160" s="62">
        <f>SUM(C159:D159)</f>
        <v/>
      </c>
      <c r="D160" s="63" t="n"/>
      <c r="F160" s="32" t="inlineStr">
        <is>
          <t>TOTAL</t>
        </is>
      </c>
      <c r="G160" s="62">
        <f>SUM(G159:H159)</f>
        <v/>
      </c>
      <c r="H160" s="63" t="n"/>
    </row>
    <row r="161" ht="15.75" customHeight="1">
      <c r="B161" s="32" t="n"/>
      <c r="C161" s="27" t="n"/>
      <c r="D161" s="33" t="n"/>
      <c r="F161" s="32" t="n"/>
      <c r="G161" s="27" t="n"/>
      <c r="H161" s="33" t="n"/>
      <c r="J161" s="32" t="n"/>
      <c r="K161" s="27" t="n"/>
      <c r="L161" s="33" t="n"/>
    </row>
    <row r="162" ht="15.75" customHeight="1" thickBot="1"/>
    <row r="163" ht="15.75" customHeight="1">
      <c r="B163" s="37" t="inlineStr">
        <is>
          <t>MESA 21</t>
        </is>
      </c>
      <c r="C163" s="60" t="n"/>
      <c r="D163" s="61" t="n"/>
      <c r="F163" s="37" t="inlineStr">
        <is>
          <t>MESA 22</t>
        </is>
      </c>
      <c r="G163" s="60" t="n"/>
      <c r="H163" s="61" t="n"/>
    </row>
    <row r="164" ht="15.75" customHeight="1">
      <c r="B164" s="40" t="inlineStr">
        <is>
          <t>NOME</t>
        </is>
      </c>
      <c r="C164" s="36" t="inlineStr">
        <is>
          <t>ADULTO</t>
        </is>
      </c>
      <c r="D164" s="41" t="inlineStr">
        <is>
          <t>CRIANÇA</t>
        </is>
      </c>
      <c r="F164" s="40" t="inlineStr">
        <is>
          <t>NOME</t>
        </is>
      </c>
      <c r="G164" s="36" t="inlineStr">
        <is>
          <t>ADULTO</t>
        </is>
      </c>
      <c r="H164" s="41" t="inlineStr">
        <is>
          <t>CRIANÇA</t>
        </is>
      </c>
    </row>
    <row r="165" ht="15.75" customHeight="1">
      <c r="B165" s="42" t="inlineStr">
        <is>
          <t xml:space="preserve">1- </t>
        </is>
      </c>
      <c r="C165" s="14" t="n"/>
      <c r="D165" s="43" t="n"/>
      <c r="F165" s="42" t="inlineStr">
        <is>
          <t xml:space="preserve">1- </t>
        </is>
      </c>
      <c r="G165" s="14" t="n"/>
      <c r="H165" s="43" t="n"/>
    </row>
    <row r="166" ht="15.75" customHeight="1">
      <c r="B166" s="42" t="inlineStr">
        <is>
          <t xml:space="preserve">2- </t>
        </is>
      </c>
      <c r="C166" s="14" t="n"/>
      <c r="D166" s="43" t="n"/>
      <c r="F166" s="42" t="inlineStr">
        <is>
          <t xml:space="preserve">2- </t>
        </is>
      </c>
      <c r="G166" s="14" t="n"/>
      <c r="H166" s="43" t="n"/>
    </row>
    <row r="167" ht="15.75" customHeight="1">
      <c r="B167" s="42" t="inlineStr">
        <is>
          <t xml:space="preserve">3- </t>
        </is>
      </c>
      <c r="C167" s="14" t="n"/>
      <c r="D167" s="43" t="n"/>
      <c r="F167" s="42" t="inlineStr">
        <is>
          <t xml:space="preserve">3- </t>
        </is>
      </c>
      <c r="G167" s="14" t="n"/>
      <c r="H167" s="43" t="n"/>
    </row>
    <row r="168" ht="15.75" customHeight="1">
      <c r="B168" s="42" t="inlineStr">
        <is>
          <t xml:space="preserve">4- </t>
        </is>
      </c>
      <c r="C168" s="14" t="n"/>
      <c r="D168" s="43" t="n"/>
      <c r="F168" s="42" t="inlineStr">
        <is>
          <t xml:space="preserve">4- </t>
        </is>
      </c>
      <c r="G168" s="14" t="n"/>
      <c r="H168" s="43" t="n"/>
    </row>
    <row r="169" ht="15.75" customHeight="1">
      <c r="B169" s="42" t="inlineStr">
        <is>
          <t xml:space="preserve">5- </t>
        </is>
      </c>
      <c r="C169" s="14" t="n"/>
      <c r="D169" s="43" t="n"/>
      <c r="F169" s="42" t="inlineStr">
        <is>
          <t xml:space="preserve">5- </t>
        </is>
      </c>
      <c r="G169" s="14" t="n"/>
      <c r="H169" s="43" t="n"/>
    </row>
    <row r="170" ht="15.75" customHeight="1">
      <c r="B170" s="42" t="inlineStr">
        <is>
          <t xml:space="preserve">6- </t>
        </is>
      </c>
      <c r="C170" s="14" t="n"/>
      <c r="D170" s="43" t="n"/>
      <c r="E170" s="30" t="n"/>
      <c r="F170" s="42" t="inlineStr">
        <is>
          <t xml:space="preserve">6- </t>
        </is>
      </c>
      <c r="G170" s="14" t="n"/>
      <c r="H170" s="43" t="n"/>
    </row>
    <row r="171" ht="15.75" customHeight="1">
      <c r="B171" s="42" t="inlineStr">
        <is>
          <t xml:space="preserve">7- </t>
        </is>
      </c>
      <c r="C171" s="14" t="n"/>
      <c r="D171" s="43" t="n"/>
      <c r="E171" s="30" t="n"/>
      <c r="F171" s="42" t="inlineStr">
        <is>
          <t xml:space="preserve">7- </t>
        </is>
      </c>
      <c r="G171" s="14" t="n"/>
      <c r="H171" s="43" t="n"/>
    </row>
    <row r="172" ht="15.75" customHeight="1">
      <c r="B172" s="42" t="inlineStr">
        <is>
          <t>8-</t>
        </is>
      </c>
      <c r="C172" s="14" t="n"/>
      <c r="D172" s="43" t="n"/>
      <c r="E172" s="30" t="n"/>
      <c r="F172" s="42" t="inlineStr">
        <is>
          <t>8-</t>
        </is>
      </c>
      <c r="G172" s="14" t="n"/>
      <c r="H172" s="43" t="n"/>
    </row>
    <row r="173" ht="15.75" customHeight="1">
      <c r="B173" s="42" t="inlineStr">
        <is>
          <t>9-</t>
        </is>
      </c>
      <c r="C173" s="14" t="n"/>
      <c r="D173" s="43" t="n"/>
      <c r="E173" s="30" t="n"/>
      <c r="F173" s="42" t="inlineStr">
        <is>
          <t>9-</t>
        </is>
      </c>
      <c r="G173" s="14" t="n"/>
      <c r="H173" s="43" t="n"/>
    </row>
    <row r="174" ht="15.75" customHeight="1">
      <c r="B174" s="42" t="inlineStr">
        <is>
          <t>10-</t>
        </is>
      </c>
      <c r="C174" s="14" t="n"/>
      <c r="D174" s="43" t="n"/>
      <c r="E174" s="30" t="n"/>
      <c r="F174" s="42" t="inlineStr">
        <is>
          <t>10-</t>
        </is>
      </c>
      <c r="G174" s="14" t="n"/>
      <c r="H174" s="43" t="n"/>
    </row>
    <row r="175" ht="15.75" customHeight="1" thickBot="1">
      <c r="B175" s="44" t="inlineStr">
        <is>
          <t>Quantidade</t>
        </is>
      </c>
      <c r="C175" s="45">
        <f>SUM(C165:C174)</f>
        <v/>
      </c>
      <c r="D175" s="45">
        <f>SUM(D165:D174)</f>
        <v/>
      </c>
      <c r="E175" s="30" t="n"/>
      <c r="F175" s="44" t="inlineStr">
        <is>
          <t>QUANTIDADE</t>
        </is>
      </c>
      <c r="G175" s="45">
        <f>SUM(G165:G174)</f>
        <v/>
      </c>
      <c r="H175" s="46">
        <f>SUM(H165:H174)</f>
        <v/>
      </c>
    </row>
    <row r="176" ht="15.75" customHeight="1" thickBot="1">
      <c r="B176" s="32" t="inlineStr">
        <is>
          <t>TOTAL</t>
        </is>
      </c>
      <c r="C176" s="62">
        <f>SUM(C175:D175)</f>
        <v/>
      </c>
      <c r="D176" s="63" t="n"/>
      <c r="E176" s="30" t="n"/>
      <c r="F176" s="32" t="inlineStr">
        <is>
          <t>TOTAL</t>
        </is>
      </c>
      <c r="G176" s="12">
        <f>SUM(G175:H175)</f>
        <v/>
      </c>
      <c r="H176" s="64" t="n"/>
    </row>
    <row r="177" ht="15.75" customHeight="1">
      <c r="E177" s="30" t="n"/>
      <c r="F177" s="30" t="n"/>
      <c r="G177" s="29" t="n"/>
      <c r="H177" s="29" t="n"/>
    </row>
    <row r="178" ht="15.75" customHeight="1" thickBot="1">
      <c r="E178" s="30" t="n"/>
      <c r="F178" s="31" t="n"/>
      <c r="G178" s="27" t="n"/>
      <c r="H178" s="27" t="n"/>
    </row>
    <row r="179" ht="15.75" customHeight="1">
      <c r="B179" s="37" t="inlineStr">
        <is>
          <t>MESA 23</t>
        </is>
      </c>
      <c r="C179" s="60" t="n"/>
      <c r="D179" s="61" t="n"/>
      <c r="E179" s="30" t="n"/>
      <c r="F179" s="37" t="inlineStr">
        <is>
          <t>MESA 24</t>
        </is>
      </c>
      <c r="G179" s="60" t="n"/>
      <c r="H179" s="61" t="n"/>
    </row>
    <row r="180" ht="15.75" customHeight="1">
      <c r="B180" s="40" t="inlineStr">
        <is>
          <t>NOME</t>
        </is>
      </c>
      <c r="C180" s="36" t="inlineStr">
        <is>
          <t>ADULTO</t>
        </is>
      </c>
      <c r="D180" s="41" t="inlineStr">
        <is>
          <t>CRIANÇA</t>
        </is>
      </c>
      <c r="E180" s="30" t="n"/>
      <c r="F180" s="40" t="inlineStr">
        <is>
          <t>NOME</t>
        </is>
      </c>
      <c r="G180" s="36" t="inlineStr">
        <is>
          <t>ADULTO</t>
        </is>
      </c>
      <c r="H180" s="41" t="inlineStr">
        <is>
          <t>CRIANÇA</t>
        </is>
      </c>
    </row>
    <row r="181" ht="15.75" customHeight="1">
      <c r="B181" s="42" t="inlineStr">
        <is>
          <t xml:space="preserve">1- </t>
        </is>
      </c>
      <c r="C181" s="14" t="n"/>
      <c r="D181" s="43" t="n"/>
      <c r="E181" s="30" t="n"/>
      <c r="F181" s="42" t="inlineStr">
        <is>
          <t xml:space="preserve">1- </t>
        </is>
      </c>
      <c r="G181" s="14" t="n"/>
      <c r="H181" s="43" t="n"/>
    </row>
    <row r="182" ht="15.75" customHeight="1">
      <c r="B182" s="42" t="inlineStr">
        <is>
          <t xml:space="preserve">2- </t>
        </is>
      </c>
      <c r="C182" s="14" t="n"/>
      <c r="D182" s="43" t="n"/>
      <c r="E182" s="30" t="n"/>
      <c r="F182" s="42" t="inlineStr">
        <is>
          <t xml:space="preserve">2- </t>
        </is>
      </c>
      <c r="G182" s="14" t="n"/>
      <c r="H182" s="43" t="n"/>
    </row>
    <row r="183" ht="15.75" customHeight="1">
      <c r="B183" s="42" t="inlineStr">
        <is>
          <t xml:space="preserve">3- </t>
        </is>
      </c>
      <c r="C183" s="14" t="n"/>
      <c r="D183" s="43" t="n"/>
      <c r="E183" s="30" t="n"/>
      <c r="F183" s="42" t="inlineStr">
        <is>
          <t xml:space="preserve">3- </t>
        </is>
      </c>
      <c r="G183" s="14" t="n"/>
      <c r="H183" s="43" t="n"/>
    </row>
    <row r="184" ht="15.75" customHeight="1">
      <c r="B184" s="42" t="inlineStr">
        <is>
          <t xml:space="preserve">4- </t>
        </is>
      </c>
      <c r="C184" s="14" t="n"/>
      <c r="D184" s="43" t="n"/>
      <c r="E184" s="30" t="n"/>
      <c r="F184" s="42" t="inlineStr">
        <is>
          <t xml:space="preserve">4- </t>
        </is>
      </c>
      <c r="G184" s="14" t="n"/>
      <c r="H184" s="43" t="n"/>
    </row>
    <row r="185" ht="15.75" customHeight="1">
      <c r="B185" s="42" t="inlineStr">
        <is>
          <t xml:space="preserve">5- </t>
        </is>
      </c>
      <c r="C185" s="14" t="n"/>
      <c r="D185" s="43" t="n"/>
      <c r="E185" s="30" t="n"/>
      <c r="F185" s="42" t="inlineStr">
        <is>
          <t xml:space="preserve">5- </t>
        </is>
      </c>
      <c r="G185" s="14" t="n"/>
      <c r="H185" s="43" t="n"/>
    </row>
    <row r="186" ht="15.75" customHeight="1">
      <c r="B186" s="42" t="inlineStr">
        <is>
          <t xml:space="preserve">6- </t>
        </is>
      </c>
      <c r="C186" s="14" t="n"/>
      <c r="D186" s="43" t="n"/>
      <c r="E186" s="30" t="n"/>
      <c r="F186" s="42" t="inlineStr">
        <is>
          <t xml:space="preserve">6- </t>
        </is>
      </c>
      <c r="G186" s="14" t="n"/>
      <c r="H186" s="43" t="n"/>
    </row>
    <row r="187" ht="15.75" customHeight="1">
      <c r="B187" s="42" t="inlineStr">
        <is>
          <t xml:space="preserve">7- </t>
        </is>
      </c>
      <c r="C187" s="14" t="n"/>
      <c r="D187" s="43" t="n"/>
      <c r="E187" s="30" t="n"/>
      <c r="F187" s="42" t="inlineStr">
        <is>
          <t xml:space="preserve">7- </t>
        </is>
      </c>
      <c r="G187" s="14" t="n"/>
      <c r="H187" s="43" t="n"/>
    </row>
    <row r="188" ht="15.75" customHeight="1">
      <c r="B188" s="42" t="inlineStr">
        <is>
          <t>8-</t>
        </is>
      </c>
      <c r="C188" s="14" t="n"/>
      <c r="D188" s="43" t="n"/>
      <c r="E188" s="30" t="n"/>
      <c r="F188" s="42" t="inlineStr">
        <is>
          <t>8-</t>
        </is>
      </c>
      <c r="G188" s="14" t="n"/>
      <c r="H188" s="43" t="n"/>
    </row>
    <row r="189" ht="15.75" customHeight="1">
      <c r="B189" s="42" t="inlineStr">
        <is>
          <t>9-</t>
        </is>
      </c>
      <c r="C189" s="14" t="n"/>
      <c r="D189" s="43" t="n"/>
      <c r="E189" s="30" t="n"/>
      <c r="F189" s="42" t="inlineStr">
        <is>
          <t>9-</t>
        </is>
      </c>
      <c r="G189" s="14" t="n"/>
      <c r="H189" s="43" t="n"/>
    </row>
    <row r="190" ht="15.75" customHeight="1">
      <c r="B190" s="42" t="inlineStr">
        <is>
          <t>10-</t>
        </is>
      </c>
      <c r="C190" s="14" t="n"/>
      <c r="D190" s="43" t="n"/>
      <c r="E190" s="30" t="n"/>
      <c r="F190" s="42" t="inlineStr">
        <is>
          <t>10-</t>
        </is>
      </c>
      <c r="G190" s="14" t="n"/>
      <c r="H190" s="43" t="n"/>
    </row>
    <row r="191" ht="15.75" customHeight="1" thickBot="1">
      <c r="B191" s="44" t="inlineStr">
        <is>
          <t>Quantidade</t>
        </is>
      </c>
      <c r="C191" s="45">
        <f>SUM(C181:C190)</f>
        <v/>
      </c>
      <c r="D191" s="45">
        <f>SUM(D181:D190)</f>
        <v/>
      </c>
      <c r="E191" s="30" t="n"/>
      <c r="F191" s="44" t="inlineStr">
        <is>
          <t>Quantidade</t>
        </is>
      </c>
      <c r="G191" s="45">
        <f>SUM(G181:G190)</f>
        <v/>
      </c>
      <c r="H191" s="45">
        <f>SUM(H181:H190)</f>
        <v/>
      </c>
    </row>
    <row r="192" ht="15.75" customHeight="1" thickBot="1">
      <c r="B192" s="32" t="inlineStr">
        <is>
          <t>TOTAL</t>
        </is>
      </c>
      <c r="C192" s="62">
        <f>SUM(C191:D191)</f>
        <v/>
      </c>
      <c r="D192" s="63" t="n"/>
      <c r="E192" s="30" t="n"/>
      <c r="F192" s="32" t="inlineStr">
        <is>
          <t>TOTAL</t>
        </is>
      </c>
      <c r="G192" s="62">
        <f>SUM(G191:H191)</f>
        <v/>
      </c>
      <c r="H192" s="63" t="n"/>
    </row>
    <row r="193" ht="15.75" customHeight="1">
      <c r="B193" s="31" t="n"/>
      <c r="C193" s="27" t="n"/>
      <c r="D193" s="27" t="n"/>
      <c r="E193" s="30" t="n"/>
      <c r="F193" s="31" t="n"/>
      <c r="G193" s="27" t="n"/>
      <c r="H193" s="27" t="n"/>
    </row>
    <row r="194" ht="15.75" customHeight="1" thickBot="1">
      <c r="B194" s="32" t="n"/>
      <c r="C194" s="27" t="n"/>
      <c r="E194" s="30" t="n"/>
      <c r="F194" s="32" t="n"/>
      <c r="G194" s="27" t="n"/>
    </row>
    <row r="195" ht="15.75" customHeight="1">
      <c r="B195" s="37" t="inlineStr">
        <is>
          <t>MESA 25</t>
        </is>
      </c>
      <c r="C195" s="60" t="n"/>
      <c r="D195" s="61" t="n"/>
      <c r="E195" s="30" t="n"/>
      <c r="F195" s="37" t="inlineStr">
        <is>
          <t>MESA 26</t>
        </is>
      </c>
      <c r="G195" s="60" t="n"/>
      <c r="H195" s="61" t="n"/>
    </row>
    <row r="196" ht="15.75" customHeight="1">
      <c r="B196" s="40" t="inlineStr">
        <is>
          <t>NOME</t>
        </is>
      </c>
      <c r="C196" s="36" t="inlineStr">
        <is>
          <t>ADULTO</t>
        </is>
      </c>
      <c r="D196" s="41" t="inlineStr">
        <is>
          <t>CRIANÇA</t>
        </is>
      </c>
      <c r="E196" s="30" t="n"/>
      <c r="F196" s="40" t="inlineStr">
        <is>
          <t>NOME</t>
        </is>
      </c>
      <c r="G196" s="36" t="inlineStr">
        <is>
          <t>ADULTO</t>
        </is>
      </c>
      <c r="H196" s="41" t="inlineStr">
        <is>
          <t>CRIANÇA</t>
        </is>
      </c>
    </row>
    <row r="197" ht="15.75" customHeight="1">
      <c r="B197" s="42" t="inlineStr">
        <is>
          <t xml:space="preserve">1- </t>
        </is>
      </c>
      <c r="C197" s="14" t="n"/>
      <c r="D197" s="43" t="n"/>
      <c r="E197" s="30" t="n"/>
      <c r="F197" s="42" t="inlineStr">
        <is>
          <t xml:space="preserve">1- </t>
        </is>
      </c>
      <c r="G197" s="14" t="n"/>
      <c r="H197" s="43" t="n"/>
    </row>
    <row r="198" ht="15.75" customHeight="1">
      <c r="B198" s="42" t="inlineStr">
        <is>
          <t xml:space="preserve">2- </t>
        </is>
      </c>
      <c r="C198" s="14" t="n"/>
      <c r="D198" s="43" t="n"/>
      <c r="E198" s="30" t="n"/>
      <c r="F198" s="42" t="inlineStr">
        <is>
          <t xml:space="preserve">2- </t>
        </is>
      </c>
      <c r="G198" s="14" t="n"/>
      <c r="H198" s="43" t="n"/>
    </row>
    <row r="199" ht="15.75" customHeight="1">
      <c r="B199" s="42" t="inlineStr">
        <is>
          <t xml:space="preserve">3- </t>
        </is>
      </c>
      <c r="C199" s="14" t="n"/>
      <c r="D199" s="43" t="n"/>
      <c r="E199" s="30" t="n"/>
      <c r="F199" s="42" t="inlineStr">
        <is>
          <t xml:space="preserve">3- </t>
        </is>
      </c>
      <c r="G199" s="14" t="n"/>
      <c r="H199" s="43" t="n"/>
    </row>
    <row r="200" ht="15.75" customHeight="1">
      <c r="B200" s="42" t="inlineStr">
        <is>
          <t xml:space="preserve">4- </t>
        </is>
      </c>
      <c r="C200" s="14" t="n"/>
      <c r="D200" s="43" t="n"/>
      <c r="E200" s="30" t="n"/>
      <c r="F200" s="42" t="inlineStr">
        <is>
          <t xml:space="preserve">4- </t>
        </is>
      </c>
      <c r="G200" s="14" t="n"/>
      <c r="H200" s="43" t="n"/>
    </row>
    <row r="201" ht="15.75" customHeight="1">
      <c r="B201" s="42" t="inlineStr">
        <is>
          <t xml:space="preserve">5- </t>
        </is>
      </c>
      <c r="C201" s="14" t="n"/>
      <c r="D201" s="43" t="n"/>
      <c r="E201" s="30" t="n"/>
      <c r="F201" s="42" t="inlineStr">
        <is>
          <t xml:space="preserve">5- </t>
        </is>
      </c>
      <c r="G201" s="15" t="n"/>
      <c r="H201" s="49" t="n"/>
    </row>
    <row r="202" ht="15.75" customHeight="1">
      <c r="B202" s="42" t="inlineStr">
        <is>
          <t xml:space="preserve">6- </t>
        </is>
      </c>
      <c r="C202" s="14" t="n"/>
      <c r="D202" s="43" t="n"/>
      <c r="E202" s="30" t="n"/>
      <c r="F202" s="42" t="inlineStr">
        <is>
          <t xml:space="preserve">6- </t>
        </is>
      </c>
      <c r="G202" s="15" t="n"/>
      <c r="H202" s="49" t="n"/>
    </row>
    <row r="203" ht="15.75" customHeight="1">
      <c r="B203" s="42" t="inlineStr">
        <is>
          <t xml:space="preserve">7- </t>
        </is>
      </c>
      <c r="C203" s="14" t="n"/>
      <c r="D203" s="43" t="n"/>
      <c r="E203" s="30" t="n"/>
      <c r="F203" s="42" t="inlineStr">
        <is>
          <t xml:space="preserve">7- </t>
        </is>
      </c>
      <c r="G203" s="14" t="n"/>
      <c r="H203" s="43" t="n"/>
    </row>
    <row r="204" ht="15.75" customHeight="1">
      <c r="B204" s="42" t="inlineStr">
        <is>
          <t>8-</t>
        </is>
      </c>
      <c r="C204" s="14" t="n"/>
      <c r="D204" s="43" t="n"/>
      <c r="E204" s="30" t="n"/>
      <c r="F204" s="42" t="inlineStr">
        <is>
          <t>8-</t>
        </is>
      </c>
      <c r="G204" s="14" t="n"/>
      <c r="H204" s="43" t="n"/>
    </row>
    <row r="205" ht="15.75" customHeight="1">
      <c r="B205" s="42" t="inlineStr">
        <is>
          <t>9-</t>
        </is>
      </c>
      <c r="C205" s="14" t="n"/>
      <c r="D205" s="43" t="n"/>
      <c r="E205" s="30" t="n"/>
      <c r="F205" s="42" t="inlineStr">
        <is>
          <t>9-</t>
        </is>
      </c>
      <c r="G205" s="16" t="n"/>
      <c r="H205" s="50" t="n"/>
    </row>
    <row r="206" ht="15" customHeight="1">
      <c r="B206" s="42" t="inlineStr">
        <is>
          <t>10-</t>
        </is>
      </c>
      <c r="C206" s="14" t="n"/>
      <c r="D206" s="43" t="n"/>
      <c r="E206" s="30" t="n"/>
      <c r="F206" s="42" t="inlineStr">
        <is>
          <t>10-</t>
        </is>
      </c>
      <c r="G206" s="16" t="n"/>
      <c r="H206" s="50" t="n"/>
    </row>
    <row r="207" ht="15" customHeight="1" thickBot="1">
      <c r="B207" s="44" t="inlineStr">
        <is>
          <t>Quantidade</t>
        </is>
      </c>
      <c r="C207" s="45">
        <f>SUM(C197:C206)</f>
        <v/>
      </c>
      <c r="D207" s="45">
        <f>SUM(D197:D206)</f>
        <v/>
      </c>
      <c r="E207" s="30" t="n"/>
      <c r="F207" s="44" t="inlineStr">
        <is>
          <t>Quantidade</t>
        </is>
      </c>
      <c r="G207" s="45">
        <f>SUM(G197:G206)</f>
        <v/>
      </c>
      <c r="H207" s="45">
        <f>SUM(H197:H206)</f>
        <v/>
      </c>
    </row>
    <row r="208" ht="15" customHeight="1" thickBot="1">
      <c r="B208" s="32" t="inlineStr">
        <is>
          <t>TOTAL</t>
        </is>
      </c>
      <c r="C208" s="62">
        <f>SUM(C207:D207)</f>
        <v/>
      </c>
      <c r="D208" s="63" t="n"/>
      <c r="E208" s="30" t="n"/>
      <c r="F208" s="32" t="inlineStr">
        <is>
          <t>TOTAL</t>
        </is>
      </c>
      <c r="G208" s="12">
        <f>SUM(G207:H207)</f>
        <v/>
      </c>
      <c r="H208" s="64" t="n"/>
    </row>
    <row r="209" ht="15" customHeight="1">
      <c r="B209" s="32" t="n"/>
      <c r="C209" s="27" t="n"/>
      <c r="E209" s="30" t="n"/>
      <c r="F209" s="32" t="n"/>
      <c r="G209" s="27" t="n"/>
    </row>
    <row r="210" ht="15" customHeight="1" thickBot="1">
      <c r="B210" s="30" t="n"/>
      <c r="C210" s="30" t="n"/>
      <c r="D210" s="30" t="n"/>
      <c r="E210" s="30" t="n"/>
      <c r="F210" s="30" t="n"/>
      <c r="G210" s="30" t="n"/>
      <c r="H210" s="30" t="n"/>
    </row>
    <row r="211" ht="15" customHeight="1">
      <c r="B211" s="37" t="inlineStr">
        <is>
          <t>MESA 27</t>
        </is>
      </c>
      <c r="C211" s="60" t="n"/>
      <c r="D211" s="61" t="n"/>
      <c r="E211" s="30" t="n"/>
      <c r="F211" s="37" t="inlineStr">
        <is>
          <t>Mesa 28</t>
        </is>
      </c>
      <c r="G211" s="60" t="n"/>
      <c r="H211" s="61" t="n"/>
    </row>
    <row r="212" ht="15" customHeight="1">
      <c r="B212" s="40" t="inlineStr">
        <is>
          <t>NOME</t>
        </is>
      </c>
      <c r="C212" s="36" t="inlineStr">
        <is>
          <t>ADULTO</t>
        </is>
      </c>
      <c r="D212" s="41" t="inlineStr">
        <is>
          <t>CRIANÇA</t>
        </is>
      </c>
      <c r="E212" s="30" t="n"/>
      <c r="F212" s="40" t="inlineStr">
        <is>
          <t>NOME</t>
        </is>
      </c>
      <c r="G212" s="36" t="inlineStr">
        <is>
          <t>ADULTO</t>
        </is>
      </c>
      <c r="H212" s="41" t="inlineStr">
        <is>
          <t>CRIANÇA</t>
        </is>
      </c>
    </row>
    <row r="213" ht="15" customHeight="1">
      <c r="B213" s="42" t="inlineStr">
        <is>
          <t xml:space="preserve">1- </t>
        </is>
      </c>
      <c r="C213" s="14" t="n"/>
      <c r="D213" s="43" t="n"/>
      <c r="E213" s="30" t="n"/>
      <c r="F213" s="42" t="inlineStr">
        <is>
          <t xml:space="preserve">1- </t>
        </is>
      </c>
      <c r="G213" s="14" t="n"/>
      <c r="H213" s="43" t="n"/>
    </row>
    <row r="214" ht="15" customHeight="1">
      <c r="B214" s="42" t="inlineStr">
        <is>
          <t xml:space="preserve">2- </t>
        </is>
      </c>
      <c r="C214" s="14" t="n"/>
      <c r="D214" s="43" t="n"/>
      <c r="E214" s="30" t="n"/>
      <c r="F214" s="42" t="inlineStr">
        <is>
          <t xml:space="preserve">2- </t>
        </is>
      </c>
      <c r="G214" s="14" t="n"/>
      <c r="H214" s="43" t="n"/>
    </row>
    <row r="215" ht="15" customHeight="1">
      <c r="B215" s="42" t="inlineStr">
        <is>
          <t xml:space="preserve">3- </t>
        </is>
      </c>
      <c r="C215" s="14" t="n"/>
      <c r="D215" s="43" t="n"/>
      <c r="E215" s="30" t="n"/>
      <c r="F215" s="42" t="inlineStr">
        <is>
          <t xml:space="preserve">3- </t>
        </is>
      </c>
      <c r="G215" s="59" t="n"/>
      <c r="H215" s="43" t="n"/>
    </row>
    <row r="216" ht="15" customHeight="1">
      <c r="B216" s="42" t="inlineStr">
        <is>
          <t xml:space="preserve">4- </t>
        </is>
      </c>
      <c r="C216" s="14" t="n"/>
      <c r="D216" s="43" t="n"/>
      <c r="E216" s="30" t="n"/>
      <c r="F216" s="42" t="inlineStr">
        <is>
          <t xml:space="preserve">4- </t>
        </is>
      </c>
      <c r="G216" s="59" t="n"/>
      <c r="H216" s="43" t="n"/>
    </row>
    <row r="217" ht="15" customHeight="1">
      <c r="B217" s="42" t="inlineStr">
        <is>
          <t xml:space="preserve">5- </t>
        </is>
      </c>
      <c r="C217" s="14" t="n"/>
      <c r="D217" s="43" t="n"/>
      <c r="E217" s="30" t="n"/>
      <c r="F217" s="42" t="inlineStr">
        <is>
          <t xml:space="preserve">5- </t>
        </is>
      </c>
      <c r="G217" s="14" t="n"/>
      <c r="H217" s="43" t="n"/>
    </row>
    <row r="218" ht="15" customHeight="1">
      <c r="B218" s="42" t="inlineStr">
        <is>
          <t xml:space="preserve">6- </t>
        </is>
      </c>
      <c r="C218" s="14" t="n"/>
      <c r="D218" s="43" t="n"/>
      <c r="E218" s="30" t="n"/>
      <c r="F218" s="42" t="inlineStr">
        <is>
          <t xml:space="preserve">6- </t>
        </is>
      </c>
      <c r="G218" s="14" t="n"/>
      <c r="H218" s="43" t="n"/>
    </row>
    <row r="219" ht="15" customHeight="1">
      <c r="B219" s="42" t="inlineStr">
        <is>
          <t xml:space="preserve">7- </t>
        </is>
      </c>
      <c r="C219" s="14" t="n"/>
      <c r="D219" s="43" t="n"/>
      <c r="E219" s="30" t="n"/>
      <c r="F219" s="42" t="inlineStr">
        <is>
          <t xml:space="preserve">7- </t>
        </is>
      </c>
      <c r="G219" s="14" t="n"/>
      <c r="H219" s="43" t="n"/>
    </row>
    <row r="220" ht="15" customHeight="1">
      <c r="B220" s="42" t="inlineStr">
        <is>
          <t>8-</t>
        </is>
      </c>
      <c r="C220" s="14" t="n"/>
      <c r="D220" s="43" t="n"/>
      <c r="E220" s="30" t="n"/>
      <c r="F220" s="42" t="inlineStr">
        <is>
          <t>8-</t>
        </is>
      </c>
      <c r="G220" s="16" t="n"/>
      <c r="H220" s="50" t="n"/>
    </row>
    <row r="221" ht="15" customHeight="1">
      <c r="B221" s="42" t="inlineStr">
        <is>
          <t>9-</t>
        </is>
      </c>
      <c r="C221" s="14" t="n"/>
      <c r="D221" s="43" t="n"/>
      <c r="E221" s="30" t="n"/>
      <c r="F221" s="42" t="inlineStr">
        <is>
          <t>9-</t>
        </is>
      </c>
      <c r="G221" s="16" t="n"/>
      <c r="H221" s="50" t="n"/>
    </row>
    <row r="222" ht="15" customHeight="1">
      <c r="B222" s="42" t="inlineStr">
        <is>
          <t>10-</t>
        </is>
      </c>
      <c r="C222" s="14" t="n"/>
      <c r="D222" s="43" t="n"/>
      <c r="E222" s="30" t="n"/>
      <c r="F222" s="42" t="inlineStr">
        <is>
          <t>10-</t>
        </is>
      </c>
      <c r="G222" s="16" t="n"/>
      <c r="H222" s="50" t="n"/>
    </row>
    <row r="223" ht="15" customHeight="1" thickBot="1">
      <c r="B223" s="44" t="inlineStr">
        <is>
          <t>QUANTIDADE</t>
        </is>
      </c>
      <c r="C223" s="45">
        <f>SUM(C213:C222)</f>
        <v/>
      </c>
      <c r="D223" s="46">
        <f>SUM(D213:D222)</f>
        <v/>
      </c>
      <c r="E223" s="30" t="n"/>
      <c r="F223" s="44" t="inlineStr">
        <is>
          <t>QUANTIDADE</t>
        </is>
      </c>
      <c r="G223" s="45">
        <f>SUM(G213:G222)</f>
        <v/>
      </c>
      <c r="H223" s="46">
        <f>SUM(H213:H222)</f>
        <v/>
      </c>
    </row>
    <row r="224" ht="15" customHeight="1" thickBot="1">
      <c r="B224" s="32" t="inlineStr">
        <is>
          <t>TOTAL</t>
        </is>
      </c>
      <c r="C224" s="12">
        <f>SUM(C223:D223)</f>
        <v/>
      </c>
      <c r="D224" s="64" t="n"/>
      <c r="E224" s="30" t="n"/>
      <c r="F224" s="32" t="inlineStr">
        <is>
          <t>TOTAL</t>
        </is>
      </c>
      <c r="G224" s="12">
        <f>SUM(G223:H223)</f>
        <v/>
      </c>
      <c r="H224" s="64" t="n"/>
    </row>
    <row r="225" ht="15" customHeight="1">
      <c r="B225" s="30" t="n"/>
      <c r="C225" s="30" t="n"/>
      <c r="D225" s="30" t="n"/>
      <c r="E225" s="30" t="n"/>
      <c r="F225" s="30" t="n"/>
      <c r="G225" s="30" t="n"/>
      <c r="H225" s="30" t="n"/>
    </row>
    <row r="226" ht="15" customHeight="1">
      <c r="B226" s="31" t="n"/>
      <c r="C226" s="30" t="n"/>
      <c r="D226" s="30" t="n"/>
      <c r="E226" s="30" t="n"/>
      <c r="F226" s="31" t="n"/>
      <c r="G226" s="30" t="n"/>
      <c r="H226" s="30" t="n"/>
    </row>
    <row r="227" ht="15" customHeight="1" thickBot="1">
      <c r="B227" s="27" t="n"/>
      <c r="C227" s="27" t="n"/>
      <c r="D227" s="27" t="n"/>
      <c r="E227" s="30" t="n"/>
      <c r="F227" s="27" t="n"/>
      <c r="G227" s="27" t="n"/>
      <c r="H227" s="27" t="n"/>
    </row>
    <row r="228" ht="15" customHeight="1">
      <c r="B228" s="37" t="inlineStr">
        <is>
          <t>MESA 29</t>
        </is>
      </c>
      <c r="C228" s="60" t="n"/>
      <c r="D228" s="61" t="n"/>
      <c r="E228" s="30" t="n"/>
      <c r="F228" s="37" t="inlineStr">
        <is>
          <t>MESA 30</t>
        </is>
      </c>
      <c r="G228" s="60" t="n"/>
      <c r="H228" s="61" t="n"/>
    </row>
    <row r="229" ht="15" customHeight="1">
      <c r="B229" s="40" t="inlineStr">
        <is>
          <t>NOME</t>
        </is>
      </c>
      <c r="C229" s="36" t="inlineStr">
        <is>
          <t>ADULTO</t>
        </is>
      </c>
      <c r="D229" s="41" t="inlineStr">
        <is>
          <t>CRIANÇA</t>
        </is>
      </c>
      <c r="E229" s="30" t="n"/>
      <c r="F229" s="40" t="inlineStr">
        <is>
          <t>NOME</t>
        </is>
      </c>
      <c r="G229" s="36" t="inlineStr">
        <is>
          <t>ADULTO</t>
        </is>
      </c>
      <c r="H229" s="41" t="inlineStr">
        <is>
          <t>CRIANÇA</t>
        </is>
      </c>
    </row>
    <row r="230" ht="15" customHeight="1">
      <c r="B230" s="42" t="inlineStr">
        <is>
          <t xml:space="preserve">1- </t>
        </is>
      </c>
      <c r="C230" s="15" t="n"/>
      <c r="D230" s="49" t="n"/>
      <c r="E230" s="30" t="n"/>
      <c r="F230" s="42" t="inlineStr">
        <is>
          <t xml:space="preserve">1- </t>
        </is>
      </c>
      <c r="G230" s="14" t="n"/>
      <c r="H230" s="43" t="n"/>
    </row>
    <row r="231" ht="15" customHeight="1">
      <c r="B231" s="42" t="inlineStr">
        <is>
          <t xml:space="preserve">2- </t>
        </is>
      </c>
      <c r="C231" s="15" t="n"/>
      <c r="D231" s="49" t="n"/>
      <c r="E231" s="30" t="n"/>
      <c r="F231" s="42" t="inlineStr">
        <is>
          <t xml:space="preserve">2- </t>
        </is>
      </c>
      <c r="G231" s="14" t="n"/>
      <c r="H231" s="43" t="n"/>
    </row>
    <row r="232" ht="15" customHeight="1">
      <c r="B232" s="42" t="inlineStr">
        <is>
          <t xml:space="preserve">3- </t>
        </is>
      </c>
      <c r="C232" s="15" t="n"/>
      <c r="D232" s="49" t="n"/>
      <c r="E232" s="30" t="n"/>
      <c r="F232" s="42" t="inlineStr">
        <is>
          <t xml:space="preserve">3- </t>
        </is>
      </c>
      <c r="G232" s="14" t="n"/>
      <c r="H232" s="43" t="n"/>
    </row>
    <row r="233" ht="15" customHeight="1">
      <c r="B233" s="42" t="inlineStr">
        <is>
          <t xml:space="preserve">4- </t>
        </is>
      </c>
      <c r="C233" s="15" t="n"/>
      <c r="D233" s="49" t="n"/>
      <c r="E233" s="30" t="n"/>
      <c r="F233" s="42" t="inlineStr">
        <is>
          <t xml:space="preserve">4- </t>
        </is>
      </c>
      <c r="G233" s="14" t="n"/>
      <c r="H233" s="43" t="n"/>
    </row>
    <row r="234" ht="15" customHeight="1">
      <c r="B234" s="42" t="inlineStr">
        <is>
          <t xml:space="preserve">5- </t>
        </is>
      </c>
      <c r="C234" s="15" t="n"/>
      <c r="D234" s="49" t="n"/>
      <c r="E234" s="30" t="n"/>
      <c r="F234" s="42" t="inlineStr">
        <is>
          <t xml:space="preserve">5- </t>
        </is>
      </c>
      <c r="G234" s="14" t="n"/>
      <c r="H234" s="43" t="n"/>
    </row>
    <row r="235" ht="15" customHeight="1">
      <c r="B235" s="42" t="inlineStr">
        <is>
          <t xml:space="preserve">6- </t>
        </is>
      </c>
      <c r="C235" s="15" t="n"/>
      <c r="D235" s="49" t="n"/>
      <c r="E235" s="30" t="n"/>
      <c r="F235" s="42" t="inlineStr">
        <is>
          <t xml:space="preserve">6- </t>
        </is>
      </c>
      <c r="G235" s="14" t="n"/>
      <c r="H235" s="43" t="n"/>
    </row>
    <row r="236" ht="15" customHeight="1">
      <c r="B236" s="42" t="inlineStr">
        <is>
          <t xml:space="preserve">7- </t>
        </is>
      </c>
      <c r="C236" s="15" t="n"/>
      <c r="D236" s="49" t="n"/>
      <c r="E236" s="30" t="n"/>
      <c r="F236" s="42" t="inlineStr">
        <is>
          <t xml:space="preserve">7- </t>
        </is>
      </c>
      <c r="G236" s="14" t="n"/>
      <c r="H236" s="43" t="n"/>
    </row>
    <row r="237" ht="15" customHeight="1">
      <c r="B237" s="42" t="inlineStr">
        <is>
          <t>8-</t>
        </is>
      </c>
      <c r="C237" s="15" t="n"/>
      <c r="D237" s="49" t="n"/>
      <c r="E237" s="30" t="n"/>
      <c r="F237" s="42" t="inlineStr">
        <is>
          <t>8-</t>
        </is>
      </c>
      <c r="G237" s="14" t="n"/>
      <c r="H237" s="43" t="n"/>
    </row>
    <row r="238" ht="15" customHeight="1">
      <c r="B238" s="42" t="inlineStr">
        <is>
          <t>9-</t>
        </is>
      </c>
      <c r="C238" s="15" t="n"/>
      <c r="D238" s="49" t="n"/>
      <c r="E238" s="30" t="n"/>
      <c r="F238" s="42" t="inlineStr">
        <is>
          <t>9-</t>
        </is>
      </c>
      <c r="G238" s="16" t="n"/>
      <c r="H238" s="50" t="n"/>
    </row>
    <row r="239" ht="15" customHeight="1">
      <c r="B239" s="42" t="inlineStr">
        <is>
          <t>10-</t>
        </is>
      </c>
      <c r="C239" s="15" t="n"/>
      <c r="D239" s="49" t="n"/>
      <c r="E239" s="30" t="n"/>
      <c r="F239" s="42" t="inlineStr">
        <is>
          <t>10-</t>
        </is>
      </c>
      <c r="G239" s="16" t="n"/>
      <c r="H239" s="50" t="n"/>
    </row>
    <row r="240" ht="15" customHeight="1" thickBot="1">
      <c r="B240" s="44" t="inlineStr">
        <is>
          <t>QUANTIDADE</t>
        </is>
      </c>
      <c r="C240" s="45">
        <f>SUM(C230:C239)</f>
        <v/>
      </c>
      <c r="D240" s="46">
        <f>SUM(D230:D239)</f>
        <v/>
      </c>
      <c r="E240" s="30" t="n"/>
      <c r="F240" s="44" t="inlineStr">
        <is>
          <t>QUANTIDADE</t>
        </is>
      </c>
      <c r="G240" s="45">
        <f>SUM(G230:G239)</f>
        <v/>
      </c>
      <c r="H240" s="46">
        <f>SUM(H230:H239)</f>
        <v/>
      </c>
    </row>
    <row r="241" ht="15" customHeight="1" thickBot="1">
      <c r="B241" s="32" t="inlineStr">
        <is>
          <t>TOTAL</t>
        </is>
      </c>
      <c r="C241" s="12">
        <f>SUM(C240:D240)</f>
        <v/>
      </c>
      <c r="D241" s="64" t="n"/>
      <c r="E241" s="30" t="n"/>
      <c r="F241" s="32" t="inlineStr">
        <is>
          <t>TOTAL</t>
        </is>
      </c>
      <c r="G241" s="12">
        <f>SUM(G240:H240)</f>
        <v/>
      </c>
      <c r="H241" s="64" t="n"/>
    </row>
    <row r="242" ht="15" customHeight="1">
      <c r="B242" s="27" t="n"/>
      <c r="C242" s="27" t="n"/>
      <c r="D242" s="27" t="n"/>
      <c r="E242" s="30" t="n"/>
      <c r="F242" s="27" t="n"/>
      <c r="G242" s="27" t="n"/>
      <c r="H242" s="27" t="n"/>
    </row>
    <row r="243" ht="15" customHeight="1">
      <c r="B243" s="28" t="n"/>
      <c r="C243" s="29" t="n"/>
      <c r="D243" s="29" t="n"/>
      <c r="E243" s="30" t="n"/>
      <c r="F243" s="28" t="n"/>
      <c r="G243" s="29" t="n"/>
      <c r="H243" s="29" t="n"/>
    </row>
    <row r="244" ht="15" customHeight="1">
      <c r="B244" s="28" t="n"/>
      <c r="C244" s="29" t="n"/>
      <c r="D244" s="29" t="n"/>
      <c r="E244" s="30" t="n"/>
      <c r="F244" s="28" t="n"/>
      <c r="G244" s="29" t="n"/>
      <c r="H244" s="29" t="n"/>
    </row>
    <row r="245" ht="15" customHeight="1">
      <c r="B245" s="28" t="n"/>
      <c r="C245" s="29" t="n"/>
      <c r="D245" s="29" t="n"/>
      <c r="E245" s="30" t="n"/>
      <c r="F245" s="28" t="n"/>
      <c r="G245" s="29" t="n"/>
      <c r="H245" s="29" t="n"/>
    </row>
    <row r="246" ht="15" customHeight="1">
      <c r="B246" s="28" t="n"/>
      <c r="C246" s="29" t="n"/>
      <c r="D246" s="29" t="n"/>
      <c r="E246" s="30" t="n"/>
      <c r="F246" s="28" t="n"/>
      <c r="G246" s="29" t="n"/>
      <c r="H246" s="29" t="n"/>
    </row>
    <row r="247" ht="15" customHeight="1">
      <c r="B247" s="28" t="n"/>
      <c r="C247" s="29" t="n"/>
      <c r="D247" s="29" t="n"/>
      <c r="E247" s="30" t="n"/>
      <c r="F247" s="28" t="n"/>
      <c r="G247" s="29" t="n"/>
      <c r="H247" s="29" t="n"/>
    </row>
    <row r="248" ht="15" customHeight="1">
      <c r="B248" s="28" t="n"/>
      <c r="C248" s="29" t="n"/>
      <c r="D248" s="29" t="n"/>
      <c r="E248" s="30" t="n"/>
      <c r="F248" s="28" t="n"/>
      <c r="G248" s="29" t="n"/>
      <c r="H248" s="29" t="n"/>
    </row>
    <row r="249" ht="15" customHeight="1">
      <c r="B249" s="28" t="n"/>
      <c r="C249" s="29" t="n"/>
      <c r="D249" s="29" t="n"/>
      <c r="E249" s="30" t="n"/>
      <c r="F249" s="28" t="n"/>
      <c r="G249" s="29" t="n"/>
      <c r="H249" s="29" t="n"/>
    </row>
    <row r="250" ht="15" customHeight="1">
      <c r="B250" s="28" t="n"/>
      <c r="C250" s="29" t="n"/>
      <c r="D250" s="29" t="n"/>
      <c r="E250" s="30" t="n"/>
      <c r="F250" s="28" t="n"/>
      <c r="G250" s="29" t="n"/>
      <c r="H250" s="29" t="n"/>
    </row>
    <row r="251" ht="15" customHeight="1">
      <c r="B251" s="30" t="n"/>
      <c r="C251" s="29" t="n"/>
      <c r="D251" s="29" t="n"/>
      <c r="E251" s="30" t="n"/>
      <c r="F251" s="30" t="n"/>
      <c r="G251" s="29" t="n"/>
      <c r="H251" s="29" t="n"/>
    </row>
    <row r="252" ht="15" customHeight="1">
      <c r="B252" s="30" t="n"/>
      <c r="C252" s="29" t="n"/>
      <c r="D252" s="29" t="n"/>
      <c r="E252" s="30" t="n"/>
      <c r="F252" s="30" t="n"/>
      <c r="G252" s="29" t="n"/>
      <c r="H252" s="29" t="n"/>
    </row>
    <row r="253" ht="15" customHeight="1">
      <c r="B253" s="31" t="n"/>
      <c r="C253" s="27" t="n"/>
      <c r="D253" s="27" t="n"/>
      <c r="E253" s="30" t="n"/>
      <c r="F253" s="31" t="n"/>
      <c r="G253" s="27" t="n"/>
      <c r="H253" s="27" t="n"/>
    </row>
    <row r="254" ht="15" customHeight="1">
      <c r="B254" s="32" t="n"/>
      <c r="C254" s="27" t="n"/>
      <c r="E254" s="30" t="n"/>
      <c r="F254" s="32" t="n"/>
      <c r="G254" s="27" t="n"/>
    </row>
    <row r="255" ht="15" customHeight="1">
      <c r="B255" s="30" t="n"/>
      <c r="C255" s="30" t="n"/>
      <c r="D255" s="30" t="n"/>
      <c r="E255" s="30" t="n"/>
      <c r="F255" s="30" t="n"/>
      <c r="G255" s="30" t="n"/>
      <c r="H255" s="30" t="n"/>
    </row>
    <row r="256" ht="15" customHeight="1">
      <c r="B256" s="31" t="n"/>
      <c r="C256" s="30" t="n"/>
      <c r="D256" s="30" t="n"/>
      <c r="E256" s="30" t="n"/>
      <c r="F256" s="30" t="n"/>
      <c r="G256" s="30" t="n"/>
      <c r="H256" s="30" t="n"/>
    </row>
    <row r="257" ht="15" customHeight="1">
      <c r="B257" s="27" t="n"/>
      <c r="C257" s="27" t="n"/>
      <c r="D257" s="27" t="n"/>
      <c r="E257" s="30" t="n"/>
      <c r="F257" s="30" t="n"/>
      <c r="G257" s="30" t="n"/>
      <c r="H257" s="30" t="n"/>
    </row>
    <row r="258" ht="15" customHeight="1">
      <c r="B258" s="28" t="n"/>
      <c r="C258" s="29" t="n"/>
      <c r="D258" s="29" t="n"/>
      <c r="E258" s="30" t="n"/>
    </row>
    <row r="259" ht="15" customHeight="1">
      <c r="B259" s="28" t="n"/>
      <c r="C259" s="29" t="n"/>
      <c r="D259" s="29" t="n"/>
      <c r="E259" s="30" t="n"/>
    </row>
    <row r="260" ht="15" customHeight="1">
      <c r="B260" s="28" t="n"/>
      <c r="C260" s="29" t="n"/>
      <c r="D260" s="29" t="n"/>
      <c r="E260" s="30" t="n"/>
    </row>
    <row r="261" ht="15" customHeight="1">
      <c r="B261" s="28" t="n"/>
      <c r="C261" s="29" t="n"/>
      <c r="D261" s="29" t="n"/>
      <c r="E261" s="30" t="n"/>
    </row>
    <row r="262" ht="15" customHeight="1">
      <c r="B262" s="28" t="n"/>
      <c r="C262" s="29" t="n"/>
      <c r="D262" s="29" t="n"/>
      <c r="E262" s="30" t="n"/>
    </row>
    <row r="263" ht="15" customHeight="1">
      <c r="B263" s="28" t="n"/>
      <c r="C263" s="29" t="n"/>
      <c r="D263" s="29" t="n"/>
      <c r="E263" s="30" t="n"/>
    </row>
    <row r="264" ht="15" customHeight="1">
      <c r="B264" s="28" t="n"/>
      <c r="C264" s="29" t="n"/>
      <c r="D264" s="29" t="n"/>
    </row>
    <row r="265" ht="15" customHeight="1">
      <c r="B265" s="28" t="n"/>
      <c r="C265" s="29" t="n"/>
      <c r="D265" s="29" t="n"/>
    </row>
    <row r="266" ht="15" customHeight="1">
      <c r="B266" s="30" t="n"/>
      <c r="C266" s="29" t="n"/>
      <c r="D266" s="29" t="n"/>
    </row>
    <row r="267" ht="15" customHeight="1">
      <c r="B267" s="30" t="n"/>
      <c r="C267" s="29" t="n"/>
      <c r="D267" s="29" t="n"/>
    </row>
    <row r="268" ht="15" customHeight="1">
      <c r="B268" s="31" t="n"/>
      <c r="C268" s="27" t="n"/>
      <c r="D268" s="27" t="n"/>
    </row>
    <row r="269" ht="15" customHeight="1">
      <c r="B269" s="32" t="n"/>
      <c r="C269" s="27" t="n"/>
    </row>
    <row r="270" ht="15" customHeight="1">
      <c r="B270" s="30" t="n"/>
      <c r="C270" s="30" t="n"/>
      <c r="D270" s="30" t="n"/>
    </row>
    <row r="271" ht="15" customHeight="1">
      <c r="B271" s="30" t="n"/>
      <c r="C271" s="30" t="n"/>
      <c r="D271" s="30" t="n"/>
    </row>
    <row r="272" ht="15" customHeight="1">
      <c r="B272" s="30" t="n"/>
      <c r="C272" s="30" t="n"/>
      <c r="D272" s="30" t="n"/>
    </row>
  </sheetData>
  <mergeCells count="67">
    <mergeCell ref="C254:D254"/>
    <mergeCell ref="B67:D67"/>
    <mergeCell ref="G208:H208"/>
    <mergeCell ref="C160:D160"/>
    <mergeCell ref="C269:D269"/>
    <mergeCell ref="F163:H163"/>
    <mergeCell ref="F228:H228"/>
    <mergeCell ref="F35:H35"/>
    <mergeCell ref="B179:D179"/>
    <mergeCell ref="G194:H194"/>
    <mergeCell ref="G176:H176"/>
    <mergeCell ref="B147:D147"/>
    <mergeCell ref="G241:H241"/>
    <mergeCell ref="C64:D64"/>
    <mergeCell ref="G48:H48"/>
    <mergeCell ref="K64:L64"/>
    <mergeCell ref="G160:H160"/>
    <mergeCell ref="B19:D19"/>
    <mergeCell ref="G224:H224"/>
    <mergeCell ref="F115:H115"/>
    <mergeCell ref="C16:D16"/>
    <mergeCell ref="G209:H209"/>
    <mergeCell ref="B211:D211"/>
    <mergeCell ref="B99:D99"/>
    <mergeCell ref="G112:H112"/>
    <mergeCell ref="F211:H211"/>
    <mergeCell ref="F131:H131"/>
    <mergeCell ref="G128:H128"/>
    <mergeCell ref="B83:D83"/>
    <mergeCell ref="F67:H67"/>
    <mergeCell ref="C96:D96"/>
    <mergeCell ref="C80:D80"/>
    <mergeCell ref="C176:D176"/>
    <mergeCell ref="B51:D51"/>
    <mergeCell ref="C192:D192"/>
    <mergeCell ref="F195:H195"/>
    <mergeCell ref="G254:H254"/>
    <mergeCell ref="J51:L51"/>
    <mergeCell ref="B35:D35"/>
    <mergeCell ref="B163:D163"/>
    <mergeCell ref="G80:H80"/>
    <mergeCell ref="F179:H179"/>
    <mergeCell ref="C194:D194"/>
    <mergeCell ref="G192:H192"/>
    <mergeCell ref="C241:D241"/>
    <mergeCell ref="F147:H147"/>
    <mergeCell ref="C48:D48"/>
    <mergeCell ref="G64:H64"/>
    <mergeCell ref="C144:D144"/>
    <mergeCell ref="G144:H144"/>
    <mergeCell ref="B3:D3"/>
    <mergeCell ref="C224:D224"/>
    <mergeCell ref="F99:H99"/>
    <mergeCell ref="C209:D209"/>
    <mergeCell ref="C32:D32"/>
    <mergeCell ref="F19:H19"/>
    <mergeCell ref="G16:H16"/>
    <mergeCell ref="G32:H32"/>
    <mergeCell ref="B115:D115"/>
    <mergeCell ref="B131:D131"/>
    <mergeCell ref="C208:D208"/>
    <mergeCell ref="F83:H83"/>
    <mergeCell ref="F3:H3"/>
    <mergeCell ref="B228:D228"/>
    <mergeCell ref="B195:D195"/>
    <mergeCell ref="G96:H96"/>
    <mergeCell ref="F51:H5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12" customWidth="1" min="4" max="4"/>
    <col width="70" customWidth="1" min="6" max="6"/>
  </cols>
  <sheetData>
    <row r="1">
      <c r="A1" s="67" t="inlineStr">
        <is>
          <t>Nome</t>
        </is>
      </c>
      <c r="B1" s="67" t="inlineStr">
        <is>
          <t>Pessoas</t>
        </is>
      </c>
      <c r="C1" s="67" t="inlineStr">
        <is>
          <t>Telefone</t>
        </is>
      </c>
      <c r="D1" s="67" t="inlineStr">
        <is>
          <t>Mesa</t>
        </is>
      </c>
      <c r="F1" s="68" t="inlineStr">
        <is>
          <t>Para passar para o painel:</t>
        </is>
      </c>
    </row>
    <row r="2">
      <c r="A2">
        <f>IFERROR(IF(ISNUMBER(VALUE(LEFT(Plan1!B5,FIND("-",Plan1!B5)-1))),TRIM(MID(Plan1!B5,FIND("-",Plan1!B5)+1,200)),TRIM(Plan1!B5)),TRIM(Plan1!B5))</f>
        <v/>
      </c>
      <c r="B2">
        <f>IF(A2="","",MAX(1,N(Plan1!C5)+N(Plan1!D5)))</f>
        <v/>
      </c>
      <c r="D2">
        <f>IF(A2="","",TRIM(Plan1!$B$3))</f>
        <v/>
      </c>
      <c r="F2" s="69" t="inlineStr">
        <is>
          <t>1. Selecione as colunas A até D (clique no A e arraste até o D).</t>
        </is>
      </c>
    </row>
    <row r="3">
      <c r="A3">
        <f>IFERROR(IF(ISNUMBER(VALUE(LEFT(Plan1!B6,FIND("-",Plan1!B6)-1))),TRIM(MID(Plan1!B6,FIND("-",Plan1!B6)+1,200)),TRIM(Plan1!B6)),TRIM(Plan1!B6))</f>
        <v/>
      </c>
      <c r="B3">
        <f>IF(A3="","",MAX(1,N(Plan1!C6)+N(Plan1!D6)))</f>
        <v/>
      </c>
      <c r="D3">
        <f>IF(A3="","",TRIM(Plan1!$B$3))</f>
        <v/>
      </c>
      <c r="F3" s="69" t="inlineStr">
        <is>
          <t>2. Copie (Ctrl+C).</t>
        </is>
      </c>
    </row>
    <row r="4">
      <c r="A4">
        <f>IFERROR(IF(ISNUMBER(VALUE(LEFT(Plan1!B7,FIND("-",Plan1!B7)-1))),TRIM(MID(Plan1!B7,FIND("-",Plan1!B7)+1,200)),TRIM(Plan1!B7)),TRIM(Plan1!B7))</f>
        <v/>
      </c>
      <c r="B4">
        <f>IF(A4="","",MAX(1,N(Plan1!C7)+N(Plan1!D7)))</f>
        <v/>
      </c>
      <c r="D4">
        <f>IF(A4="","",TRIM(Plan1!$B$3))</f>
        <v/>
      </c>
      <c r="F4" s="69" t="inlineStr">
        <is>
          <t>3. No painel: festa → Convidados → "Adicionar vários de uma vez" → cole (Ctrl+V).</t>
        </is>
      </c>
    </row>
    <row r="5">
      <c r="A5">
        <f>IFERROR(IF(ISNUMBER(VALUE(LEFT(Plan1!B8,FIND("-",Plan1!B8)-1))),TRIM(MID(Plan1!B8,FIND("-",Plan1!B8)+1,200)),TRIM(Plan1!B8)),TRIM(Plan1!B8))</f>
        <v/>
      </c>
      <c r="B5">
        <f>IF(A5="","",MAX(1,N(Plan1!C8)+N(Plan1!D8)))</f>
        <v/>
      </c>
      <c r="D5">
        <f>IF(A5="","",TRIM(Plan1!$B$3))</f>
        <v/>
      </c>
      <c r="F5" s="69" t="inlineStr">
        <is>
          <t>4. Confira a prévia e clique em Adicionar.</t>
        </is>
      </c>
    </row>
    <row r="6">
      <c r="A6">
        <f>IFERROR(IF(ISNUMBER(VALUE(LEFT(Plan1!B9,FIND("-",Plan1!B9)-1))),TRIM(MID(Plan1!B9,FIND("-",Plan1!B9)+1,200)),TRIM(Plan1!B9)),TRIM(Plan1!B9))</f>
        <v/>
      </c>
      <c r="B6">
        <f>IF(A6="","",MAX(1,N(Plan1!C9)+N(Plan1!D9)))</f>
        <v/>
      </c>
      <c r="D6">
        <f>IF(A6="","",TRIM(Plan1!$B$3))</f>
        <v/>
      </c>
      <c r="F6" s="69" t="inlineStr"/>
    </row>
    <row r="7">
      <c r="A7">
        <f>IFERROR(IF(ISNUMBER(VALUE(LEFT(Plan1!B10,FIND("-",Plan1!B10)-1))),TRIM(MID(Plan1!B10,FIND("-",Plan1!B10)+1,200)),TRIM(Plan1!B10)),TRIM(Plan1!B10))</f>
        <v/>
      </c>
      <c r="B7">
        <f>IF(A7="","",MAX(1,N(Plan1!C10)+N(Plan1!D10)))</f>
        <v/>
      </c>
      <c r="D7">
        <f>IF(A7="","",TRIM(Plan1!$B$3))</f>
        <v/>
      </c>
      <c r="F7" s="69" t="inlineStr">
        <is>
          <t>Esta aba se preenche sozinha com o que foi escrito na Plan1. Não precisa digitar aqui.</t>
        </is>
      </c>
    </row>
    <row r="8">
      <c r="A8">
        <f>IFERROR(IF(ISNUMBER(VALUE(LEFT(Plan1!B11,FIND("-",Plan1!B11)-1))),TRIM(MID(Plan1!B11,FIND("-",Plan1!B11)+1,200)),TRIM(Plan1!B11)),TRIM(Plan1!B11))</f>
        <v/>
      </c>
      <c r="B8">
        <f>IF(A8="","",MAX(1,N(Plan1!C11)+N(Plan1!D11)))</f>
        <v/>
      </c>
      <c r="D8">
        <f>IF(A8="","",TRIM(Plan1!$B$3))</f>
        <v/>
      </c>
      <c r="F8" s="69" t="inlineStr">
        <is>
          <t>Pessoas = ADULTO + CRIANÇA da linha (1 se estiverem vazios).</t>
        </is>
      </c>
    </row>
    <row r="9">
      <c r="A9">
        <f>IFERROR(IF(ISNUMBER(VALUE(LEFT(Plan1!B12,FIND("-",Plan1!B12)-1))),TRIM(MID(Plan1!B12,FIND("-",Plan1!B12)+1,200)),TRIM(Plan1!B12)),TRIM(Plan1!B12))</f>
        <v/>
      </c>
      <c r="B9">
        <f>IF(A9="","",MAX(1,N(Plan1!C12)+N(Plan1!D12)))</f>
        <v/>
      </c>
      <c r="D9">
        <f>IF(A9="","",TRIM(Plan1!$B$3))</f>
        <v/>
      </c>
      <c r="F9" s="69" t="inlineStr">
        <is>
          <t>Quem já está no painel só muda de mesa; mesa que não existe no painel é criada.</t>
        </is>
      </c>
    </row>
    <row r="10">
      <c r="A10">
        <f>IFERROR(IF(ISNUMBER(VALUE(LEFT(Plan1!B13,FIND("-",Plan1!B13)-1))),TRIM(MID(Plan1!B13,FIND("-",Plan1!B13)+1,200)),TRIM(Plan1!B13)),TRIM(Plan1!B13))</f>
        <v/>
      </c>
      <c r="B10">
        <f>IF(A10="","",MAX(1,N(Plan1!C13)+N(Plan1!D13)))</f>
        <v/>
      </c>
      <c r="D10">
        <f>IF(A10="","",TRIM(Plan1!$B$3))</f>
        <v/>
      </c>
    </row>
    <row r="11">
      <c r="A11">
        <f>IFERROR(IF(ISNUMBER(VALUE(LEFT(Plan1!B14,FIND("-",Plan1!B14)-1))),TRIM(MID(Plan1!B14,FIND("-",Plan1!B14)+1,200)),TRIM(Plan1!B14)),TRIM(Plan1!B14))</f>
        <v/>
      </c>
      <c r="B11">
        <f>IF(A11="","",MAX(1,N(Plan1!C14)+N(Plan1!D14)))</f>
        <v/>
      </c>
      <c r="D11">
        <f>IF(A11="","",TRIM(Plan1!$B$3))</f>
        <v/>
      </c>
    </row>
    <row r="12">
      <c r="A12">
        <f>IFERROR(IF(ISNUMBER(VALUE(LEFT(Plan1!F5,FIND("-",Plan1!F5)-1))),TRIM(MID(Plan1!F5,FIND("-",Plan1!F5)+1,200)),TRIM(Plan1!F5)),TRIM(Plan1!F5))</f>
        <v/>
      </c>
      <c r="B12">
        <f>IF(A12="","",MAX(1,N(Plan1!G5)+N(Plan1!H5)))</f>
        <v/>
      </c>
      <c r="D12">
        <f>IF(A12="","",TRIM(Plan1!$F$3))</f>
        <v/>
      </c>
    </row>
    <row r="13">
      <c r="A13">
        <f>IFERROR(IF(ISNUMBER(VALUE(LEFT(Plan1!F6,FIND("-",Plan1!F6)-1))),TRIM(MID(Plan1!F6,FIND("-",Plan1!F6)+1,200)),TRIM(Plan1!F6)),TRIM(Plan1!F6))</f>
        <v/>
      </c>
      <c r="B13">
        <f>IF(A13="","",MAX(1,N(Plan1!G6)+N(Plan1!H6)))</f>
        <v/>
      </c>
      <c r="D13">
        <f>IF(A13="","",TRIM(Plan1!$F$3))</f>
        <v/>
      </c>
    </row>
    <row r="14">
      <c r="A14">
        <f>IFERROR(IF(ISNUMBER(VALUE(LEFT(Plan1!F7,FIND("-",Plan1!F7)-1))),TRIM(MID(Plan1!F7,FIND("-",Plan1!F7)+1,200)),TRIM(Plan1!F7)),TRIM(Plan1!F7))</f>
        <v/>
      </c>
      <c r="B14">
        <f>IF(A14="","",MAX(1,N(Plan1!G7)+N(Plan1!H7)))</f>
        <v/>
      </c>
      <c r="D14">
        <f>IF(A14="","",TRIM(Plan1!$F$3))</f>
        <v/>
      </c>
    </row>
    <row r="15">
      <c r="A15">
        <f>IFERROR(IF(ISNUMBER(VALUE(LEFT(Plan1!F8,FIND("-",Plan1!F8)-1))),TRIM(MID(Plan1!F8,FIND("-",Plan1!F8)+1,200)),TRIM(Plan1!F8)),TRIM(Plan1!F8))</f>
        <v/>
      </c>
      <c r="B15">
        <f>IF(A15="","",MAX(1,N(Plan1!G8)+N(Plan1!H8)))</f>
        <v/>
      </c>
      <c r="D15">
        <f>IF(A15="","",TRIM(Plan1!$F$3))</f>
        <v/>
      </c>
    </row>
    <row r="16">
      <c r="A16">
        <f>IFERROR(IF(ISNUMBER(VALUE(LEFT(Plan1!F9,FIND("-",Plan1!F9)-1))),TRIM(MID(Plan1!F9,FIND("-",Plan1!F9)+1,200)),TRIM(Plan1!F9)),TRIM(Plan1!F9))</f>
        <v/>
      </c>
      <c r="B16">
        <f>IF(A16="","",MAX(1,N(Plan1!G9)+N(Plan1!H9)))</f>
        <v/>
      </c>
      <c r="D16">
        <f>IF(A16="","",TRIM(Plan1!$F$3))</f>
        <v/>
      </c>
    </row>
    <row r="17">
      <c r="A17">
        <f>IFERROR(IF(ISNUMBER(VALUE(LEFT(Plan1!F10,FIND("-",Plan1!F10)-1))),TRIM(MID(Plan1!F10,FIND("-",Plan1!F10)+1,200)),TRIM(Plan1!F10)),TRIM(Plan1!F10))</f>
        <v/>
      </c>
      <c r="B17">
        <f>IF(A17="","",MAX(1,N(Plan1!G10)+N(Plan1!H10)))</f>
        <v/>
      </c>
      <c r="D17">
        <f>IF(A17="","",TRIM(Plan1!$F$3))</f>
        <v/>
      </c>
    </row>
    <row r="18">
      <c r="A18">
        <f>IFERROR(IF(ISNUMBER(VALUE(LEFT(Plan1!F11,FIND("-",Plan1!F11)-1))),TRIM(MID(Plan1!F11,FIND("-",Plan1!F11)+1,200)),TRIM(Plan1!F11)),TRIM(Plan1!F11))</f>
        <v/>
      </c>
      <c r="B18">
        <f>IF(A18="","",MAX(1,N(Plan1!G11)+N(Plan1!H11)))</f>
        <v/>
      </c>
      <c r="D18">
        <f>IF(A18="","",TRIM(Plan1!$F$3))</f>
        <v/>
      </c>
    </row>
    <row r="19">
      <c r="A19">
        <f>IFERROR(IF(ISNUMBER(VALUE(LEFT(Plan1!F12,FIND("-",Plan1!F12)-1))),TRIM(MID(Plan1!F12,FIND("-",Plan1!F12)+1,200)),TRIM(Plan1!F12)),TRIM(Plan1!F12))</f>
        <v/>
      </c>
      <c r="B19">
        <f>IF(A19="","",MAX(1,N(Plan1!G12)+N(Plan1!H12)))</f>
        <v/>
      </c>
      <c r="D19">
        <f>IF(A19="","",TRIM(Plan1!$F$3))</f>
        <v/>
      </c>
    </row>
    <row r="20">
      <c r="A20">
        <f>IFERROR(IF(ISNUMBER(VALUE(LEFT(Plan1!F13,FIND("-",Plan1!F13)-1))),TRIM(MID(Plan1!F13,FIND("-",Plan1!F13)+1,200)),TRIM(Plan1!F13)),TRIM(Plan1!F13))</f>
        <v/>
      </c>
      <c r="B20">
        <f>IF(A20="","",MAX(1,N(Plan1!G13)+N(Plan1!H13)))</f>
        <v/>
      </c>
      <c r="D20">
        <f>IF(A20="","",TRIM(Plan1!$F$3))</f>
        <v/>
      </c>
    </row>
    <row r="21">
      <c r="A21">
        <f>IFERROR(IF(ISNUMBER(VALUE(LEFT(Plan1!F14,FIND("-",Plan1!F14)-1))),TRIM(MID(Plan1!F14,FIND("-",Plan1!F14)+1,200)),TRIM(Plan1!F14)),TRIM(Plan1!F14))</f>
        <v/>
      </c>
      <c r="B21">
        <f>IF(A21="","",MAX(1,N(Plan1!G14)+N(Plan1!H14)))</f>
        <v/>
      </c>
      <c r="D21">
        <f>IF(A21="","",TRIM(Plan1!$F$3))</f>
        <v/>
      </c>
    </row>
    <row r="22">
      <c r="A22">
        <f>IFERROR(IF(ISNUMBER(VALUE(LEFT(Plan1!B21,FIND("-",Plan1!B21)-1))),TRIM(MID(Plan1!B21,FIND("-",Plan1!B21)+1,200)),TRIM(Plan1!B21)),TRIM(Plan1!B21))</f>
        <v/>
      </c>
      <c r="B22">
        <f>IF(A22="","",MAX(1,N(Plan1!C21)+N(Plan1!D21)))</f>
        <v/>
      </c>
      <c r="D22">
        <f>IF(A22="","",TRIM(Plan1!$B$19))</f>
        <v/>
      </c>
    </row>
    <row r="23">
      <c r="A23">
        <f>IFERROR(IF(ISNUMBER(VALUE(LEFT(Plan1!B22,FIND("-",Plan1!B22)-1))),TRIM(MID(Plan1!B22,FIND("-",Plan1!B22)+1,200)),TRIM(Plan1!B22)),TRIM(Plan1!B22))</f>
        <v/>
      </c>
      <c r="B23">
        <f>IF(A23="","",MAX(1,N(Plan1!C22)+N(Plan1!D22)))</f>
        <v/>
      </c>
      <c r="D23">
        <f>IF(A23="","",TRIM(Plan1!$B$19))</f>
        <v/>
      </c>
    </row>
    <row r="24">
      <c r="A24">
        <f>IFERROR(IF(ISNUMBER(VALUE(LEFT(Plan1!B23,FIND("-",Plan1!B23)-1))),TRIM(MID(Plan1!B23,FIND("-",Plan1!B23)+1,200)),TRIM(Plan1!B23)),TRIM(Plan1!B23))</f>
        <v/>
      </c>
      <c r="B24">
        <f>IF(A24="","",MAX(1,N(Plan1!C23)+N(Plan1!D23)))</f>
        <v/>
      </c>
      <c r="D24">
        <f>IF(A24="","",TRIM(Plan1!$B$19))</f>
        <v/>
      </c>
    </row>
    <row r="25">
      <c r="A25">
        <f>IFERROR(IF(ISNUMBER(VALUE(LEFT(Plan1!B24,FIND("-",Plan1!B24)-1))),TRIM(MID(Plan1!B24,FIND("-",Plan1!B24)+1,200)),TRIM(Plan1!B24)),TRIM(Plan1!B24))</f>
        <v/>
      </c>
      <c r="B25">
        <f>IF(A25="","",MAX(1,N(Plan1!C24)+N(Plan1!D24)))</f>
        <v/>
      </c>
      <c r="D25">
        <f>IF(A25="","",TRIM(Plan1!$B$19))</f>
        <v/>
      </c>
    </row>
    <row r="26">
      <c r="A26">
        <f>IFERROR(IF(ISNUMBER(VALUE(LEFT(Plan1!B25,FIND("-",Plan1!B25)-1))),TRIM(MID(Plan1!B25,FIND("-",Plan1!B25)+1,200)),TRIM(Plan1!B25)),TRIM(Plan1!B25))</f>
        <v/>
      </c>
      <c r="B26">
        <f>IF(A26="","",MAX(1,N(Plan1!C25)+N(Plan1!D25)))</f>
        <v/>
      </c>
      <c r="D26">
        <f>IF(A26="","",TRIM(Plan1!$B$19))</f>
        <v/>
      </c>
    </row>
    <row r="27">
      <c r="A27">
        <f>IFERROR(IF(ISNUMBER(VALUE(LEFT(Plan1!B26,FIND("-",Plan1!B26)-1))),TRIM(MID(Plan1!B26,FIND("-",Plan1!B26)+1,200)),TRIM(Plan1!B26)),TRIM(Plan1!B26))</f>
        <v/>
      </c>
      <c r="B27">
        <f>IF(A27="","",MAX(1,N(Plan1!C26)+N(Plan1!D26)))</f>
        <v/>
      </c>
      <c r="D27">
        <f>IF(A27="","",TRIM(Plan1!$B$19))</f>
        <v/>
      </c>
    </row>
    <row r="28">
      <c r="A28">
        <f>IFERROR(IF(ISNUMBER(VALUE(LEFT(Plan1!B27,FIND("-",Plan1!B27)-1))),TRIM(MID(Plan1!B27,FIND("-",Plan1!B27)+1,200)),TRIM(Plan1!B27)),TRIM(Plan1!B27))</f>
        <v/>
      </c>
      <c r="B28">
        <f>IF(A28="","",MAX(1,N(Plan1!C27)+N(Plan1!D27)))</f>
        <v/>
      </c>
      <c r="D28">
        <f>IF(A28="","",TRIM(Plan1!$B$19))</f>
        <v/>
      </c>
    </row>
    <row r="29">
      <c r="A29">
        <f>IFERROR(IF(ISNUMBER(VALUE(LEFT(Plan1!B28,FIND("-",Plan1!B28)-1))),TRIM(MID(Plan1!B28,FIND("-",Plan1!B28)+1,200)),TRIM(Plan1!B28)),TRIM(Plan1!B28))</f>
        <v/>
      </c>
      <c r="B29">
        <f>IF(A29="","",MAX(1,N(Plan1!C28)+N(Plan1!D28)))</f>
        <v/>
      </c>
      <c r="D29">
        <f>IF(A29="","",TRIM(Plan1!$B$19))</f>
        <v/>
      </c>
    </row>
    <row r="30">
      <c r="A30">
        <f>IFERROR(IF(ISNUMBER(VALUE(LEFT(Plan1!B29,FIND("-",Plan1!B29)-1))),TRIM(MID(Plan1!B29,FIND("-",Plan1!B29)+1,200)),TRIM(Plan1!B29)),TRIM(Plan1!B29))</f>
        <v/>
      </c>
      <c r="B30">
        <f>IF(A30="","",MAX(1,N(Plan1!C29)+N(Plan1!D29)))</f>
        <v/>
      </c>
      <c r="D30">
        <f>IF(A30="","",TRIM(Plan1!$B$19))</f>
        <v/>
      </c>
    </row>
    <row r="31">
      <c r="A31">
        <f>IFERROR(IF(ISNUMBER(VALUE(LEFT(Plan1!B30,FIND("-",Plan1!B30)-1))),TRIM(MID(Plan1!B30,FIND("-",Plan1!B30)+1,200)),TRIM(Plan1!B30)),TRIM(Plan1!B30))</f>
        <v/>
      </c>
      <c r="B31">
        <f>IF(A31="","",MAX(1,N(Plan1!C30)+N(Plan1!D30)))</f>
        <v/>
      </c>
      <c r="D31">
        <f>IF(A31="","",TRIM(Plan1!$B$19))</f>
        <v/>
      </c>
    </row>
    <row r="32">
      <c r="A32">
        <f>IFERROR(IF(ISNUMBER(VALUE(LEFT(Plan1!F21,FIND("-",Plan1!F21)-1))),TRIM(MID(Plan1!F21,FIND("-",Plan1!F21)+1,200)),TRIM(Plan1!F21)),TRIM(Plan1!F21))</f>
        <v/>
      </c>
      <c r="B32">
        <f>IF(A32="","",MAX(1,N(Plan1!G21)+N(Plan1!H21)))</f>
        <v/>
      </c>
      <c r="D32">
        <f>IF(A32="","",TRIM(Plan1!$F$19))</f>
        <v/>
      </c>
    </row>
    <row r="33">
      <c r="A33">
        <f>IFERROR(IF(ISNUMBER(VALUE(LEFT(Plan1!F22,FIND("-",Plan1!F22)-1))),TRIM(MID(Plan1!F22,FIND("-",Plan1!F22)+1,200)),TRIM(Plan1!F22)),TRIM(Plan1!F22))</f>
        <v/>
      </c>
      <c r="B33">
        <f>IF(A33="","",MAX(1,N(Plan1!G22)+N(Plan1!H22)))</f>
        <v/>
      </c>
      <c r="D33">
        <f>IF(A33="","",TRIM(Plan1!$F$19))</f>
        <v/>
      </c>
    </row>
    <row r="34">
      <c r="A34">
        <f>IFERROR(IF(ISNUMBER(VALUE(LEFT(Plan1!F23,FIND("-",Plan1!F23)-1))),TRIM(MID(Plan1!F23,FIND("-",Plan1!F23)+1,200)),TRIM(Plan1!F23)),TRIM(Plan1!F23))</f>
        <v/>
      </c>
      <c r="B34">
        <f>IF(A34="","",MAX(1,N(Plan1!G23)+N(Plan1!H23)))</f>
        <v/>
      </c>
      <c r="D34">
        <f>IF(A34="","",TRIM(Plan1!$F$19))</f>
        <v/>
      </c>
    </row>
    <row r="35">
      <c r="A35">
        <f>IFERROR(IF(ISNUMBER(VALUE(LEFT(Plan1!F24,FIND("-",Plan1!F24)-1))),TRIM(MID(Plan1!F24,FIND("-",Plan1!F24)+1,200)),TRIM(Plan1!F24)),TRIM(Plan1!F24))</f>
        <v/>
      </c>
      <c r="B35">
        <f>IF(A35="","",MAX(1,N(Plan1!G24)+N(Plan1!H24)))</f>
        <v/>
      </c>
      <c r="D35">
        <f>IF(A35="","",TRIM(Plan1!$F$19))</f>
        <v/>
      </c>
    </row>
    <row r="36">
      <c r="A36">
        <f>IFERROR(IF(ISNUMBER(VALUE(LEFT(Plan1!F25,FIND("-",Plan1!F25)-1))),TRIM(MID(Plan1!F25,FIND("-",Plan1!F25)+1,200)),TRIM(Plan1!F25)),TRIM(Plan1!F25))</f>
        <v/>
      </c>
      <c r="B36">
        <f>IF(A36="","",MAX(1,N(Plan1!G25)+N(Plan1!H25)))</f>
        <v/>
      </c>
      <c r="D36">
        <f>IF(A36="","",TRIM(Plan1!$F$19))</f>
        <v/>
      </c>
    </row>
    <row r="37">
      <c r="A37">
        <f>IFERROR(IF(ISNUMBER(VALUE(LEFT(Plan1!F26,FIND("-",Plan1!F26)-1))),TRIM(MID(Plan1!F26,FIND("-",Plan1!F26)+1,200)),TRIM(Plan1!F26)),TRIM(Plan1!F26))</f>
        <v/>
      </c>
      <c r="B37">
        <f>IF(A37="","",MAX(1,N(Plan1!G26)+N(Plan1!H26)))</f>
        <v/>
      </c>
      <c r="D37">
        <f>IF(A37="","",TRIM(Plan1!$F$19))</f>
        <v/>
      </c>
    </row>
    <row r="38">
      <c r="A38">
        <f>IFERROR(IF(ISNUMBER(VALUE(LEFT(Plan1!F27,FIND("-",Plan1!F27)-1))),TRIM(MID(Plan1!F27,FIND("-",Plan1!F27)+1,200)),TRIM(Plan1!F27)),TRIM(Plan1!F27))</f>
        <v/>
      </c>
      <c r="B38">
        <f>IF(A38="","",MAX(1,N(Plan1!G27)+N(Plan1!H27)))</f>
        <v/>
      </c>
      <c r="D38">
        <f>IF(A38="","",TRIM(Plan1!$F$19))</f>
        <v/>
      </c>
    </row>
    <row r="39">
      <c r="A39">
        <f>IFERROR(IF(ISNUMBER(VALUE(LEFT(Plan1!F28,FIND("-",Plan1!F28)-1))),TRIM(MID(Plan1!F28,FIND("-",Plan1!F28)+1,200)),TRIM(Plan1!F28)),TRIM(Plan1!F28))</f>
        <v/>
      </c>
      <c r="B39">
        <f>IF(A39="","",MAX(1,N(Plan1!G28)+N(Plan1!H28)))</f>
        <v/>
      </c>
      <c r="D39">
        <f>IF(A39="","",TRIM(Plan1!$F$19))</f>
        <v/>
      </c>
    </row>
    <row r="40">
      <c r="A40">
        <f>IFERROR(IF(ISNUMBER(VALUE(LEFT(Plan1!F29,FIND("-",Plan1!F29)-1))),TRIM(MID(Plan1!F29,FIND("-",Plan1!F29)+1,200)),TRIM(Plan1!F29)),TRIM(Plan1!F29))</f>
        <v/>
      </c>
      <c r="B40">
        <f>IF(A40="","",MAX(1,N(Plan1!G29)+N(Plan1!H29)))</f>
        <v/>
      </c>
      <c r="D40">
        <f>IF(A40="","",TRIM(Plan1!$F$19))</f>
        <v/>
      </c>
    </row>
    <row r="41">
      <c r="A41">
        <f>IFERROR(IF(ISNUMBER(VALUE(LEFT(Plan1!F30,FIND("-",Plan1!F30)-1))),TRIM(MID(Plan1!F30,FIND("-",Plan1!F30)+1,200)),TRIM(Plan1!F30)),TRIM(Plan1!F30))</f>
        <v/>
      </c>
      <c r="B41">
        <f>IF(A41="","",MAX(1,N(Plan1!G30)+N(Plan1!H30)))</f>
        <v/>
      </c>
      <c r="D41">
        <f>IF(A41="","",TRIM(Plan1!$F$19))</f>
        <v/>
      </c>
    </row>
    <row r="42">
      <c r="A42">
        <f>IFERROR(IF(ISNUMBER(VALUE(LEFT(Plan1!B37,FIND("-",Plan1!B37)-1))),TRIM(MID(Plan1!B37,FIND("-",Plan1!B37)+1,200)),TRIM(Plan1!B37)),TRIM(Plan1!B37))</f>
        <v/>
      </c>
      <c r="B42">
        <f>IF(A42="","",MAX(1,N(Plan1!C37)+N(Plan1!D37)))</f>
        <v/>
      </c>
      <c r="D42">
        <f>IF(A42="","",TRIM(Plan1!$B$35))</f>
        <v/>
      </c>
    </row>
    <row r="43">
      <c r="A43">
        <f>IFERROR(IF(ISNUMBER(VALUE(LEFT(Plan1!B38,FIND("-",Plan1!B38)-1))),TRIM(MID(Plan1!B38,FIND("-",Plan1!B38)+1,200)),TRIM(Plan1!B38)),TRIM(Plan1!B38))</f>
        <v/>
      </c>
      <c r="B43">
        <f>IF(A43="","",MAX(1,N(Plan1!C38)+N(Plan1!D38)))</f>
        <v/>
      </c>
      <c r="D43">
        <f>IF(A43="","",TRIM(Plan1!$B$35))</f>
        <v/>
      </c>
    </row>
    <row r="44">
      <c r="A44">
        <f>IFERROR(IF(ISNUMBER(VALUE(LEFT(Plan1!B39,FIND("-",Plan1!B39)-1))),TRIM(MID(Plan1!B39,FIND("-",Plan1!B39)+1,200)),TRIM(Plan1!B39)),TRIM(Plan1!B39))</f>
        <v/>
      </c>
      <c r="B44">
        <f>IF(A44="","",MAX(1,N(Plan1!C39)+N(Plan1!D39)))</f>
        <v/>
      </c>
      <c r="D44">
        <f>IF(A44="","",TRIM(Plan1!$B$35))</f>
        <v/>
      </c>
    </row>
    <row r="45">
      <c r="A45">
        <f>IFERROR(IF(ISNUMBER(VALUE(LEFT(Plan1!B40,FIND("-",Plan1!B40)-1))),TRIM(MID(Plan1!B40,FIND("-",Plan1!B40)+1,200)),TRIM(Plan1!B40)),TRIM(Plan1!B40))</f>
        <v/>
      </c>
      <c r="B45">
        <f>IF(A45="","",MAX(1,N(Plan1!C40)+N(Plan1!D40)))</f>
        <v/>
      </c>
      <c r="D45">
        <f>IF(A45="","",TRIM(Plan1!$B$35))</f>
        <v/>
      </c>
    </row>
    <row r="46">
      <c r="A46">
        <f>IFERROR(IF(ISNUMBER(VALUE(LEFT(Plan1!B41,FIND("-",Plan1!B41)-1))),TRIM(MID(Plan1!B41,FIND("-",Plan1!B41)+1,200)),TRIM(Plan1!B41)),TRIM(Plan1!B41))</f>
        <v/>
      </c>
      <c r="B46">
        <f>IF(A46="","",MAX(1,N(Plan1!C41)+N(Plan1!D41)))</f>
        <v/>
      </c>
      <c r="D46">
        <f>IF(A46="","",TRIM(Plan1!$B$35))</f>
        <v/>
      </c>
    </row>
    <row r="47">
      <c r="A47">
        <f>IFERROR(IF(ISNUMBER(VALUE(LEFT(Plan1!B42,FIND("-",Plan1!B42)-1))),TRIM(MID(Plan1!B42,FIND("-",Plan1!B42)+1,200)),TRIM(Plan1!B42)),TRIM(Plan1!B42))</f>
        <v/>
      </c>
      <c r="B47">
        <f>IF(A47="","",MAX(1,N(Plan1!C42)+N(Plan1!D42)))</f>
        <v/>
      </c>
      <c r="D47">
        <f>IF(A47="","",TRIM(Plan1!$B$35))</f>
        <v/>
      </c>
    </row>
    <row r="48">
      <c r="A48">
        <f>IFERROR(IF(ISNUMBER(VALUE(LEFT(Plan1!B43,FIND("-",Plan1!B43)-1))),TRIM(MID(Plan1!B43,FIND("-",Plan1!B43)+1,200)),TRIM(Plan1!B43)),TRIM(Plan1!B43))</f>
        <v/>
      </c>
      <c r="B48">
        <f>IF(A48="","",MAX(1,N(Plan1!C43)+N(Plan1!D43)))</f>
        <v/>
      </c>
      <c r="D48">
        <f>IF(A48="","",TRIM(Plan1!$B$35))</f>
        <v/>
      </c>
    </row>
    <row r="49">
      <c r="A49">
        <f>IFERROR(IF(ISNUMBER(VALUE(LEFT(Plan1!B44,FIND("-",Plan1!B44)-1))),TRIM(MID(Plan1!B44,FIND("-",Plan1!B44)+1,200)),TRIM(Plan1!B44)),TRIM(Plan1!B44))</f>
        <v/>
      </c>
      <c r="B49">
        <f>IF(A49="","",MAX(1,N(Plan1!C44)+N(Plan1!D44)))</f>
        <v/>
      </c>
      <c r="D49">
        <f>IF(A49="","",TRIM(Plan1!$B$35))</f>
        <v/>
      </c>
    </row>
    <row r="50">
      <c r="A50">
        <f>IFERROR(IF(ISNUMBER(VALUE(LEFT(Plan1!B45,FIND("-",Plan1!B45)-1))),TRIM(MID(Plan1!B45,FIND("-",Plan1!B45)+1,200)),TRIM(Plan1!B45)),TRIM(Plan1!B45))</f>
        <v/>
      </c>
      <c r="B50">
        <f>IF(A50="","",MAX(1,N(Plan1!C45)+N(Plan1!D45)))</f>
        <v/>
      </c>
      <c r="D50">
        <f>IF(A50="","",TRIM(Plan1!$B$35))</f>
        <v/>
      </c>
    </row>
    <row r="51">
      <c r="A51">
        <f>IFERROR(IF(ISNUMBER(VALUE(LEFT(Plan1!B46,FIND("-",Plan1!B46)-1))),TRIM(MID(Plan1!B46,FIND("-",Plan1!B46)+1,200)),TRIM(Plan1!B46)),TRIM(Plan1!B46))</f>
        <v/>
      </c>
      <c r="B51">
        <f>IF(A51="","",MAX(1,N(Plan1!C46)+N(Plan1!D46)))</f>
        <v/>
      </c>
      <c r="D51">
        <f>IF(A51="","",TRIM(Plan1!$B$35))</f>
        <v/>
      </c>
    </row>
    <row r="52">
      <c r="A52">
        <f>IFERROR(IF(ISNUMBER(VALUE(LEFT(Plan1!F37,FIND("-",Plan1!F37)-1))),TRIM(MID(Plan1!F37,FIND("-",Plan1!F37)+1,200)),TRIM(Plan1!F37)),TRIM(Plan1!F37))</f>
        <v/>
      </c>
      <c r="B52">
        <f>IF(A52="","",MAX(1,N(Plan1!G37)+N(Plan1!H37)))</f>
        <v/>
      </c>
      <c r="D52">
        <f>IF(A52="","",TRIM(Plan1!$F$35))</f>
        <v/>
      </c>
    </row>
    <row r="53">
      <c r="A53">
        <f>IFERROR(IF(ISNUMBER(VALUE(LEFT(Plan1!F38,FIND("-",Plan1!F38)-1))),TRIM(MID(Plan1!F38,FIND("-",Plan1!F38)+1,200)),TRIM(Plan1!F38)),TRIM(Plan1!F38))</f>
        <v/>
      </c>
      <c r="B53">
        <f>IF(A53="","",MAX(1,N(Plan1!G38)+N(Plan1!H38)))</f>
        <v/>
      </c>
      <c r="D53">
        <f>IF(A53="","",TRIM(Plan1!$F$35))</f>
        <v/>
      </c>
    </row>
    <row r="54">
      <c r="A54">
        <f>IFERROR(IF(ISNUMBER(VALUE(LEFT(Plan1!F39,FIND("-",Plan1!F39)-1))),TRIM(MID(Plan1!F39,FIND("-",Plan1!F39)+1,200)),TRIM(Plan1!F39)),TRIM(Plan1!F39))</f>
        <v/>
      </c>
      <c r="B54">
        <f>IF(A54="","",MAX(1,N(Plan1!G39)+N(Plan1!H39)))</f>
        <v/>
      </c>
      <c r="D54">
        <f>IF(A54="","",TRIM(Plan1!$F$35))</f>
        <v/>
      </c>
    </row>
    <row r="55">
      <c r="A55">
        <f>IFERROR(IF(ISNUMBER(VALUE(LEFT(Plan1!F40,FIND("-",Plan1!F40)-1))),TRIM(MID(Plan1!F40,FIND("-",Plan1!F40)+1,200)),TRIM(Plan1!F40)),TRIM(Plan1!F40))</f>
        <v/>
      </c>
      <c r="B55">
        <f>IF(A55="","",MAX(1,N(Plan1!G40)+N(Plan1!H40)))</f>
        <v/>
      </c>
      <c r="D55">
        <f>IF(A55="","",TRIM(Plan1!$F$35))</f>
        <v/>
      </c>
    </row>
    <row r="56">
      <c r="A56">
        <f>IFERROR(IF(ISNUMBER(VALUE(LEFT(Plan1!F41,FIND("-",Plan1!F41)-1))),TRIM(MID(Plan1!F41,FIND("-",Plan1!F41)+1,200)),TRIM(Plan1!F41)),TRIM(Plan1!F41))</f>
        <v/>
      </c>
      <c r="B56">
        <f>IF(A56="","",MAX(1,N(Plan1!G41)+N(Plan1!H41)))</f>
        <v/>
      </c>
      <c r="D56">
        <f>IF(A56="","",TRIM(Plan1!$F$35))</f>
        <v/>
      </c>
    </row>
    <row r="57">
      <c r="A57">
        <f>IFERROR(IF(ISNUMBER(VALUE(LEFT(Plan1!F42,FIND("-",Plan1!F42)-1))),TRIM(MID(Plan1!F42,FIND("-",Plan1!F42)+1,200)),TRIM(Plan1!F42)),TRIM(Plan1!F42))</f>
        <v/>
      </c>
      <c r="B57">
        <f>IF(A57="","",MAX(1,N(Plan1!G42)+N(Plan1!H42)))</f>
        <v/>
      </c>
      <c r="D57">
        <f>IF(A57="","",TRIM(Plan1!$F$35))</f>
        <v/>
      </c>
    </row>
    <row r="58">
      <c r="A58">
        <f>IFERROR(IF(ISNUMBER(VALUE(LEFT(Plan1!F43,FIND("-",Plan1!F43)-1))),TRIM(MID(Plan1!F43,FIND("-",Plan1!F43)+1,200)),TRIM(Plan1!F43)),TRIM(Plan1!F43))</f>
        <v/>
      </c>
      <c r="B58">
        <f>IF(A58="","",MAX(1,N(Plan1!G43)+N(Plan1!H43)))</f>
        <v/>
      </c>
      <c r="D58">
        <f>IF(A58="","",TRIM(Plan1!$F$35))</f>
        <v/>
      </c>
    </row>
    <row r="59">
      <c r="A59">
        <f>IFERROR(IF(ISNUMBER(VALUE(LEFT(Plan1!F44,FIND("-",Plan1!F44)-1))),TRIM(MID(Plan1!F44,FIND("-",Plan1!F44)+1,200)),TRIM(Plan1!F44)),TRIM(Plan1!F44))</f>
        <v/>
      </c>
      <c r="B59">
        <f>IF(A59="","",MAX(1,N(Plan1!G44)+N(Plan1!H44)))</f>
        <v/>
      </c>
      <c r="D59">
        <f>IF(A59="","",TRIM(Plan1!$F$35))</f>
        <v/>
      </c>
    </row>
    <row r="60">
      <c r="A60">
        <f>IFERROR(IF(ISNUMBER(VALUE(LEFT(Plan1!F45,FIND("-",Plan1!F45)-1))),TRIM(MID(Plan1!F45,FIND("-",Plan1!F45)+1,200)),TRIM(Plan1!F45)),TRIM(Plan1!F45))</f>
        <v/>
      </c>
      <c r="B60">
        <f>IF(A60="","",MAX(1,N(Plan1!G45)+N(Plan1!H45)))</f>
        <v/>
      </c>
      <c r="D60">
        <f>IF(A60="","",TRIM(Plan1!$F$35))</f>
        <v/>
      </c>
    </row>
    <row r="61">
      <c r="A61">
        <f>IFERROR(IF(ISNUMBER(VALUE(LEFT(Plan1!F46,FIND("-",Plan1!F46)-1))),TRIM(MID(Plan1!F46,FIND("-",Plan1!F46)+1,200)),TRIM(Plan1!F46)),TRIM(Plan1!F46))</f>
        <v/>
      </c>
      <c r="B61">
        <f>IF(A61="","",MAX(1,N(Plan1!G46)+N(Plan1!H46)))</f>
        <v/>
      </c>
      <c r="D61">
        <f>IF(A61="","",TRIM(Plan1!$F$35))</f>
        <v/>
      </c>
    </row>
    <row r="62">
      <c r="A62">
        <f>IFERROR(IF(ISNUMBER(VALUE(LEFT(Plan1!B53,FIND("-",Plan1!B53)-1))),TRIM(MID(Plan1!B53,FIND("-",Plan1!B53)+1,200)),TRIM(Plan1!B53)),TRIM(Plan1!B53))</f>
        <v/>
      </c>
      <c r="B62">
        <f>IF(A62="","",MAX(1,N(Plan1!C53)+N(Plan1!D53)))</f>
        <v/>
      </c>
      <c r="D62">
        <f>IF(A62="","",TRIM(Plan1!$B$51))</f>
        <v/>
      </c>
    </row>
    <row r="63">
      <c r="A63">
        <f>IFERROR(IF(ISNUMBER(VALUE(LEFT(Plan1!B54,FIND("-",Plan1!B54)-1))),TRIM(MID(Plan1!B54,FIND("-",Plan1!B54)+1,200)),TRIM(Plan1!B54)),TRIM(Plan1!B54))</f>
        <v/>
      </c>
      <c r="B63">
        <f>IF(A63="","",MAX(1,N(Plan1!C54)+N(Plan1!D54)))</f>
        <v/>
      </c>
      <c r="D63">
        <f>IF(A63="","",TRIM(Plan1!$B$51))</f>
        <v/>
      </c>
    </row>
    <row r="64">
      <c r="A64">
        <f>IFERROR(IF(ISNUMBER(VALUE(LEFT(Plan1!B55,FIND("-",Plan1!B55)-1))),TRIM(MID(Plan1!B55,FIND("-",Plan1!B55)+1,200)),TRIM(Plan1!B55)),TRIM(Plan1!B55))</f>
        <v/>
      </c>
      <c r="B64">
        <f>IF(A64="","",MAX(1,N(Plan1!C55)+N(Plan1!D55)))</f>
        <v/>
      </c>
      <c r="D64">
        <f>IF(A64="","",TRIM(Plan1!$B$51))</f>
        <v/>
      </c>
    </row>
    <row r="65">
      <c r="A65">
        <f>IFERROR(IF(ISNUMBER(VALUE(LEFT(Plan1!B56,FIND("-",Plan1!B56)-1))),TRIM(MID(Plan1!B56,FIND("-",Plan1!B56)+1,200)),TRIM(Plan1!B56)),TRIM(Plan1!B56))</f>
        <v/>
      </c>
      <c r="B65">
        <f>IF(A65="","",MAX(1,N(Plan1!C56)+N(Plan1!D56)))</f>
        <v/>
      </c>
      <c r="D65">
        <f>IF(A65="","",TRIM(Plan1!$B$51))</f>
        <v/>
      </c>
    </row>
    <row r="66">
      <c r="A66">
        <f>IFERROR(IF(ISNUMBER(VALUE(LEFT(Plan1!B57,FIND("-",Plan1!B57)-1))),TRIM(MID(Plan1!B57,FIND("-",Plan1!B57)+1,200)),TRIM(Plan1!B57)),TRIM(Plan1!B57))</f>
        <v/>
      </c>
      <c r="B66">
        <f>IF(A66="","",MAX(1,N(Plan1!C57)+N(Plan1!D57)))</f>
        <v/>
      </c>
      <c r="D66">
        <f>IF(A66="","",TRIM(Plan1!$B$51))</f>
        <v/>
      </c>
    </row>
    <row r="67">
      <c r="A67">
        <f>IFERROR(IF(ISNUMBER(VALUE(LEFT(Plan1!B58,FIND("-",Plan1!B58)-1))),TRIM(MID(Plan1!B58,FIND("-",Plan1!B58)+1,200)),TRIM(Plan1!B58)),TRIM(Plan1!B58))</f>
        <v/>
      </c>
      <c r="B67">
        <f>IF(A67="","",MAX(1,N(Plan1!C58)+N(Plan1!D58)))</f>
        <v/>
      </c>
      <c r="D67">
        <f>IF(A67="","",TRIM(Plan1!$B$51))</f>
        <v/>
      </c>
    </row>
    <row r="68">
      <c r="A68">
        <f>IFERROR(IF(ISNUMBER(VALUE(LEFT(Plan1!B59,FIND("-",Plan1!B59)-1))),TRIM(MID(Plan1!B59,FIND("-",Plan1!B59)+1,200)),TRIM(Plan1!B59)),TRIM(Plan1!B59))</f>
        <v/>
      </c>
      <c r="B68">
        <f>IF(A68="","",MAX(1,N(Plan1!C59)+N(Plan1!D59)))</f>
        <v/>
      </c>
      <c r="D68">
        <f>IF(A68="","",TRIM(Plan1!$B$51))</f>
        <v/>
      </c>
    </row>
    <row r="69">
      <c r="A69">
        <f>IFERROR(IF(ISNUMBER(VALUE(LEFT(Plan1!B60,FIND("-",Plan1!B60)-1))),TRIM(MID(Plan1!B60,FIND("-",Plan1!B60)+1,200)),TRIM(Plan1!B60)),TRIM(Plan1!B60))</f>
        <v/>
      </c>
      <c r="B69">
        <f>IF(A69="","",MAX(1,N(Plan1!C60)+N(Plan1!D60)))</f>
        <v/>
      </c>
      <c r="D69">
        <f>IF(A69="","",TRIM(Plan1!$B$51))</f>
        <v/>
      </c>
    </row>
    <row r="70">
      <c r="A70">
        <f>IFERROR(IF(ISNUMBER(VALUE(LEFT(Plan1!B61,FIND("-",Plan1!B61)-1))),TRIM(MID(Plan1!B61,FIND("-",Plan1!B61)+1,200)),TRIM(Plan1!B61)),TRIM(Plan1!B61))</f>
        <v/>
      </c>
      <c r="B70">
        <f>IF(A70="","",MAX(1,N(Plan1!C61)+N(Plan1!D61)))</f>
        <v/>
      </c>
      <c r="D70">
        <f>IF(A70="","",TRIM(Plan1!$B$51))</f>
        <v/>
      </c>
    </row>
    <row r="71">
      <c r="A71">
        <f>IFERROR(IF(ISNUMBER(VALUE(LEFT(Plan1!B62,FIND("-",Plan1!B62)-1))),TRIM(MID(Plan1!B62,FIND("-",Plan1!B62)+1,200)),TRIM(Plan1!B62)),TRIM(Plan1!B62))</f>
        <v/>
      </c>
      <c r="B71">
        <f>IF(A71="","",MAX(1,N(Plan1!C62)+N(Plan1!D62)))</f>
        <v/>
      </c>
      <c r="D71">
        <f>IF(A71="","",TRIM(Plan1!$B$51))</f>
        <v/>
      </c>
    </row>
    <row r="72">
      <c r="A72">
        <f>IFERROR(IF(ISNUMBER(VALUE(LEFT(Plan1!F53,FIND("-",Plan1!F53)-1))),TRIM(MID(Plan1!F53,FIND("-",Plan1!F53)+1,200)),TRIM(Plan1!F53)),TRIM(Plan1!F53))</f>
        <v/>
      </c>
      <c r="B72">
        <f>IF(A72="","",MAX(1,N(Plan1!G53)+N(Plan1!H53)))</f>
        <v/>
      </c>
      <c r="D72">
        <f>IF(A72="","",TRIM(Plan1!$F$51))</f>
        <v/>
      </c>
    </row>
    <row r="73">
      <c r="A73">
        <f>IFERROR(IF(ISNUMBER(VALUE(LEFT(Plan1!F54,FIND("-",Plan1!F54)-1))),TRIM(MID(Plan1!F54,FIND("-",Plan1!F54)+1,200)),TRIM(Plan1!F54)),TRIM(Plan1!F54))</f>
        <v/>
      </c>
      <c r="B73">
        <f>IF(A73="","",MAX(1,N(Plan1!G54)+N(Plan1!H54)))</f>
        <v/>
      </c>
      <c r="D73">
        <f>IF(A73="","",TRIM(Plan1!$F$51))</f>
        <v/>
      </c>
    </row>
    <row r="74">
      <c r="A74">
        <f>IFERROR(IF(ISNUMBER(VALUE(LEFT(Plan1!F55,FIND("-",Plan1!F55)-1))),TRIM(MID(Plan1!F55,FIND("-",Plan1!F55)+1,200)),TRIM(Plan1!F55)),TRIM(Plan1!F55))</f>
        <v/>
      </c>
      <c r="B74">
        <f>IF(A74="","",MAX(1,N(Plan1!G55)+N(Plan1!H55)))</f>
        <v/>
      </c>
      <c r="D74">
        <f>IF(A74="","",TRIM(Plan1!$F$51))</f>
        <v/>
      </c>
    </row>
    <row r="75">
      <c r="A75">
        <f>IFERROR(IF(ISNUMBER(VALUE(LEFT(Plan1!F56,FIND("-",Plan1!F56)-1))),TRIM(MID(Plan1!F56,FIND("-",Plan1!F56)+1,200)),TRIM(Plan1!F56)),TRIM(Plan1!F56))</f>
        <v/>
      </c>
      <c r="B75">
        <f>IF(A75="","",MAX(1,N(Plan1!G56)+N(Plan1!H56)))</f>
        <v/>
      </c>
      <c r="D75">
        <f>IF(A75="","",TRIM(Plan1!$F$51))</f>
        <v/>
      </c>
    </row>
    <row r="76">
      <c r="A76">
        <f>IFERROR(IF(ISNUMBER(VALUE(LEFT(Plan1!F57,FIND("-",Plan1!F57)-1))),TRIM(MID(Plan1!F57,FIND("-",Plan1!F57)+1,200)),TRIM(Plan1!F57)),TRIM(Plan1!F57))</f>
        <v/>
      </c>
      <c r="B76">
        <f>IF(A76="","",MAX(1,N(Plan1!G57)+N(Plan1!H57)))</f>
        <v/>
      </c>
      <c r="D76">
        <f>IF(A76="","",TRIM(Plan1!$F$51))</f>
        <v/>
      </c>
    </row>
    <row r="77">
      <c r="A77">
        <f>IFERROR(IF(ISNUMBER(VALUE(LEFT(Plan1!F58,FIND("-",Plan1!F58)-1))),TRIM(MID(Plan1!F58,FIND("-",Plan1!F58)+1,200)),TRIM(Plan1!F58)),TRIM(Plan1!F58))</f>
        <v/>
      </c>
      <c r="B77">
        <f>IF(A77="","",MAX(1,N(Plan1!G58)+N(Plan1!H58)))</f>
        <v/>
      </c>
      <c r="D77">
        <f>IF(A77="","",TRIM(Plan1!$F$51))</f>
        <v/>
      </c>
    </row>
    <row r="78">
      <c r="A78">
        <f>IFERROR(IF(ISNUMBER(VALUE(LEFT(Plan1!F59,FIND("-",Plan1!F59)-1))),TRIM(MID(Plan1!F59,FIND("-",Plan1!F59)+1,200)),TRIM(Plan1!F59)),TRIM(Plan1!F59))</f>
        <v/>
      </c>
      <c r="B78">
        <f>IF(A78="","",MAX(1,N(Plan1!G59)+N(Plan1!H59)))</f>
        <v/>
      </c>
      <c r="D78">
        <f>IF(A78="","",TRIM(Plan1!$F$51))</f>
        <v/>
      </c>
    </row>
    <row r="79">
      <c r="A79">
        <f>IFERROR(IF(ISNUMBER(VALUE(LEFT(Plan1!F60,FIND("-",Plan1!F60)-1))),TRIM(MID(Plan1!F60,FIND("-",Plan1!F60)+1,200)),TRIM(Plan1!F60)),TRIM(Plan1!F60))</f>
        <v/>
      </c>
      <c r="B79">
        <f>IF(A79="","",MAX(1,N(Plan1!G60)+N(Plan1!H60)))</f>
        <v/>
      </c>
      <c r="D79">
        <f>IF(A79="","",TRIM(Plan1!$F$51))</f>
        <v/>
      </c>
    </row>
    <row r="80">
      <c r="A80">
        <f>IFERROR(IF(ISNUMBER(VALUE(LEFT(Plan1!F61,FIND("-",Plan1!F61)-1))),TRIM(MID(Plan1!F61,FIND("-",Plan1!F61)+1,200)),TRIM(Plan1!F61)),TRIM(Plan1!F61))</f>
        <v/>
      </c>
      <c r="B80">
        <f>IF(A80="","",MAX(1,N(Plan1!G61)+N(Plan1!H61)))</f>
        <v/>
      </c>
      <c r="D80">
        <f>IF(A80="","",TRIM(Plan1!$F$51))</f>
        <v/>
      </c>
    </row>
    <row r="81">
      <c r="A81">
        <f>IFERROR(IF(ISNUMBER(VALUE(LEFT(Plan1!F62,FIND("-",Plan1!F62)-1))),TRIM(MID(Plan1!F62,FIND("-",Plan1!F62)+1,200)),TRIM(Plan1!F62)),TRIM(Plan1!F62))</f>
        <v/>
      </c>
      <c r="B81">
        <f>IF(A81="","",MAX(1,N(Plan1!G62)+N(Plan1!H62)))</f>
        <v/>
      </c>
      <c r="D81">
        <f>IF(A81="","",TRIM(Plan1!$F$51))</f>
        <v/>
      </c>
    </row>
    <row r="82">
      <c r="A82">
        <f>IFERROR(IF(ISNUMBER(VALUE(LEFT(Plan1!B69,FIND("-",Plan1!B69)-1))),TRIM(MID(Plan1!B69,FIND("-",Plan1!B69)+1,200)),TRIM(Plan1!B69)),TRIM(Plan1!B69))</f>
        <v/>
      </c>
      <c r="B82">
        <f>IF(A82="","",MAX(1,N(Plan1!C69)+N(Plan1!D69)))</f>
        <v/>
      </c>
      <c r="D82">
        <f>IF(A82="","",TRIM(Plan1!$B$67))</f>
        <v/>
      </c>
    </row>
    <row r="83">
      <c r="A83">
        <f>IFERROR(IF(ISNUMBER(VALUE(LEFT(Plan1!B70,FIND("-",Plan1!B70)-1))),TRIM(MID(Plan1!B70,FIND("-",Plan1!B70)+1,200)),TRIM(Plan1!B70)),TRIM(Plan1!B70))</f>
        <v/>
      </c>
      <c r="B83">
        <f>IF(A83="","",MAX(1,N(Plan1!C70)+N(Plan1!D70)))</f>
        <v/>
      </c>
      <c r="D83">
        <f>IF(A83="","",TRIM(Plan1!$B$67))</f>
        <v/>
      </c>
    </row>
    <row r="84">
      <c r="A84">
        <f>IFERROR(IF(ISNUMBER(VALUE(LEFT(Plan1!B71,FIND("-",Plan1!B71)-1))),TRIM(MID(Plan1!B71,FIND("-",Plan1!B71)+1,200)),TRIM(Plan1!B71)),TRIM(Plan1!B71))</f>
        <v/>
      </c>
      <c r="B84">
        <f>IF(A84="","",MAX(1,N(Plan1!C71)+N(Plan1!D71)))</f>
        <v/>
      </c>
      <c r="D84">
        <f>IF(A84="","",TRIM(Plan1!$B$67))</f>
        <v/>
      </c>
    </row>
    <row r="85">
      <c r="A85">
        <f>IFERROR(IF(ISNUMBER(VALUE(LEFT(Plan1!B72,FIND("-",Plan1!B72)-1))),TRIM(MID(Plan1!B72,FIND("-",Plan1!B72)+1,200)),TRIM(Plan1!B72)),TRIM(Plan1!B72))</f>
        <v/>
      </c>
      <c r="B85">
        <f>IF(A85="","",MAX(1,N(Plan1!C72)+N(Plan1!D72)))</f>
        <v/>
      </c>
      <c r="D85">
        <f>IF(A85="","",TRIM(Plan1!$B$67))</f>
        <v/>
      </c>
    </row>
    <row r="86">
      <c r="A86">
        <f>IFERROR(IF(ISNUMBER(VALUE(LEFT(Plan1!B73,FIND("-",Plan1!B73)-1))),TRIM(MID(Plan1!B73,FIND("-",Plan1!B73)+1,200)),TRIM(Plan1!B73)),TRIM(Plan1!B73))</f>
        <v/>
      </c>
      <c r="B86">
        <f>IF(A86="","",MAX(1,N(Plan1!C73)+N(Plan1!D73)))</f>
        <v/>
      </c>
      <c r="D86">
        <f>IF(A86="","",TRIM(Plan1!$B$67))</f>
        <v/>
      </c>
    </row>
    <row r="87">
      <c r="A87">
        <f>IFERROR(IF(ISNUMBER(VALUE(LEFT(Plan1!B74,FIND("-",Plan1!B74)-1))),TRIM(MID(Plan1!B74,FIND("-",Plan1!B74)+1,200)),TRIM(Plan1!B74)),TRIM(Plan1!B74))</f>
        <v/>
      </c>
      <c r="B87">
        <f>IF(A87="","",MAX(1,N(Plan1!C74)+N(Plan1!D74)))</f>
        <v/>
      </c>
      <c r="D87">
        <f>IF(A87="","",TRIM(Plan1!$B$67))</f>
        <v/>
      </c>
    </row>
    <row r="88">
      <c r="A88">
        <f>IFERROR(IF(ISNUMBER(VALUE(LEFT(Plan1!B75,FIND("-",Plan1!B75)-1))),TRIM(MID(Plan1!B75,FIND("-",Plan1!B75)+1,200)),TRIM(Plan1!B75)),TRIM(Plan1!B75))</f>
        <v/>
      </c>
      <c r="B88">
        <f>IF(A88="","",MAX(1,N(Plan1!C75)+N(Plan1!D75)))</f>
        <v/>
      </c>
      <c r="D88">
        <f>IF(A88="","",TRIM(Plan1!$B$67))</f>
        <v/>
      </c>
    </row>
    <row r="89">
      <c r="A89">
        <f>IFERROR(IF(ISNUMBER(VALUE(LEFT(Plan1!B76,FIND("-",Plan1!B76)-1))),TRIM(MID(Plan1!B76,FIND("-",Plan1!B76)+1,200)),TRIM(Plan1!B76)),TRIM(Plan1!B76))</f>
        <v/>
      </c>
      <c r="B89">
        <f>IF(A89="","",MAX(1,N(Plan1!C76)+N(Plan1!D76)))</f>
        <v/>
      </c>
      <c r="D89">
        <f>IF(A89="","",TRIM(Plan1!$B$67))</f>
        <v/>
      </c>
    </row>
    <row r="90">
      <c r="A90">
        <f>IFERROR(IF(ISNUMBER(VALUE(LEFT(Plan1!B77,FIND("-",Plan1!B77)-1))),TRIM(MID(Plan1!B77,FIND("-",Plan1!B77)+1,200)),TRIM(Plan1!B77)),TRIM(Plan1!B77))</f>
        <v/>
      </c>
      <c r="B90">
        <f>IF(A90="","",MAX(1,N(Plan1!C77)+N(Plan1!D77)))</f>
        <v/>
      </c>
      <c r="D90">
        <f>IF(A90="","",TRIM(Plan1!$B$67))</f>
        <v/>
      </c>
    </row>
    <row r="91">
      <c r="A91">
        <f>IFERROR(IF(ISNUMBER(VALUE(LEFT(Plan1!B78,FIND("-",Plan1!B78)-1))),TRIM(MID(Plan1!B78,FIND("-",Plan1!B78)+1,200)),TRIM(Plan1!B78)),TRIM(Plan1!B78))</f>
        <v/>
      </c>
      <c r="B91">
        <f>IF(A91="","",MAX(1,N(Plan1!C78)+N(Plan1!D78)))</f>
        <v/>
      </c>
      <c r="D91">
        <f>IF(A91="","",TRIM(Plan1!$B$67))</f>
        <v/>
      </c>
    </row>
    <row r="92">
      <c r="A92">
        <f>IFERROR(IF(ISNUMBER(VALUE(LEFT(Plan1!F69,FIND("-",Plan1!F69)-1))),TRIM(MID(Plan1!F69,FIND("-",Plan1!F69)+1,200)),TRIM(Plan1!F69)),TRIM(Plan1!F69))</f>
        <v/>
      </c>
      <c r="B92">
        <f>IF(A92="","",MAX(1,N(Plan1!G69)+N(Plan1!H69)))</f>
        <v/>
      </c>
      <c r="D92">
        <f>IF(A92="","",TRIM(Plan1!$F$67))</f>
        <v/>
      </c>
    </row>
    <row r="93">
      <c r="A93">
        <f>IFERROR(IF(ISNUMBER(VALUE(LEFT(Plan1!F70,FIND("-",Plan1!F70)-1))),TRIM(MID(Plan1!F70,FIND("-",Plan1!F70)+1,200)),TRIM(Plan1!F70)),TRIM(Plan1!F70))</f>
        <v/>
      </c>
      <c r="B93">
        <f>IF(A93="","",MAX(1,N(Plan1!G70)+N(Plan1!H70)))</f>
        <v/>
      </c>
      <c r="D93">
        <f>IF(A93="","",TRIM(Plan1!$F$67))</f>
        <v/>
      </c>
    </row>
    <row r="94">
      <c r="A94">
        <f>IFERROR(IF(ISNUMBER(VALUE(LEFT(Plan1!F71,FIND("-",Plan1!F71)-1))),TRIM(MID(Plan1!F71,FIND("-",Plan1!F71)+1,200)),TRIM(Plan1!F71)),TRIM(Plan1!F71))</f>
        <v/>
      </c>
      <c r="B94">
        <f>IF(A94="","",MAX(1,N(Plan1!G71)+N(Plan1!H71)))</f>
        <v/>
      </c>
      <c r="D94">
        <f>IF(A94="","",TRIM(Plan1!$F$67))</f>
        <v/>
      </c>
    </row>
    <row r="95">
      <c r="A95">
        <f>IFERROR(IF(ISNUMBER(VALUE(LEFT(Plan1!F72,FIND("-",Plan1!F72)-1))),TRIM(MID(Plan1!F72,FIND("-",Plan1!F72)+1,200)),TRIM(Plan1!F72)),TRIM(Plan1!F72))</f>
        <v/>
      </c>
      <c r="B95">
        <f>IF(A95="","",MAX(1,N(Plan1!G72)+N(Plan1!H72)))</f>
        <v/>
      </c>
      <c r="D95">
        <f>IF(A95="","",TRIM(Plan1!$F$67))</f>
        <v/>
      </c>
    </row>
    <row r="96">
      <c r="A96">
        <f>IFERROR(IF(ISNUMBER(VALUE(LEFT(Plan1!F73,FIND("-",Plan1!F73)-1))),TRIM(MID(Plan1!F73,FIND("-",Plan1!F73)+1,200)),TRIM(Plan1!F73)),TRIM(Plan1!F73))</f>
        <v/>
      </c>
      <c r="B96">
        <f>IF(A96="","",MAX(1,N(Plan1!G73)+N(Plan1!H73)))</f>
        <v/>
      </c>
      <c r="D96">
        <f>IF(A96="","",TRIM(Plan1!$F$67))</f>
        <v/>
      </c>
    </row>
    <row r="97">
      <c r="A97">
        <f>IFERROR(IF(ISNUMBER(VALUE(LEFT(Plan1!F74,FIND("-",Plan1!F74)-1))),TRIM(MID(Plan1!F74,FIND("-",Plan1!F74)+1,200)),TRIM(Plan1!F74)),TRIM(Plan1!F74))</f>
        <v/>
      </c>
      <c r="B97">
        <f>IF(A97="","",MAX(1,N(Plan1!G74)+N(Plan1!H74)))</f>
        <v/>
      </c>
      <c r="D97">
        <f>IF(A97="","",TRIM(Plan1!$F$67))</f>
        <v/>
      </c>
    </row>
    <row r="98">
      <c r="A98">
        <f>IFERROR(IF(ISNUMBER(VALUE(LEFT(Plan1!F75,FIND("-",Plan1!F75)-1))),TRIM(MID(Plan1!F75,FIND("-",Plan1!F75)+1,200)),TRIM(Plan1!F75)),TRIM(Plan1!F75))</f>
        <v/>
      </c>
      <c r="B98">
        <f>IF(A98="","",MAX(1,N(Plan1!G75)+N(Plan1!H75)))</f>
        <v/>
      </c>
      <c r="D98">
        <f>IF(A98="","",TRIM(Plan1!$F$67))</f>
        <v/>
      </c>
    </row>
    <row r="99">
      <c r="A99">
        <f>IFERROR(IF(ISNUMBER(VALUE(LEFT(Plan1!F76,FIND("-",Plan1!F76)-1))),TRIM(MID(Plan1!F76,FIND("-",Plan1!F76)+1,200)),TRIM(Plan1!F76)),TRIM(Plan1!F76))</f>
        <v/>
      </c>
      <c r="B99">
        <f>IF(A99="","",MAX(1,N(Plan1!G76)+N(Plan1!H76)))</f>
        <v/>
      </c>
      <c r="D99">
        <f>IF(A99="","",TRIM(Plan1!$F$67))</f>
        <v/>
      </c>
    </row>
    <row r="100">
      <c r="A100">
        <f>IFERROR(IF(ISNUMBER(VALUE(LEFT(Plan1!F77,FIND("-",Plan1!F77)-1))),TRIM(MID(Plan1!F77,FIND("-",Plan1!F77)+1,200)),TRIM(Plan1!F77)),TRIM(Plan1!F77))</f>
        <v/>
      </c>
      <c r="B100">
        <f>IF(A100="","",MAX(1,N(Plan1!G77)+N(Plan1!H77)))</f>
        <v/>
      </c>
      <c r="D100">
        <f>IF(A100="","",TRIM(Plan1!$F$67))</f>
        <v/>
      </c>
    </row>
    <row r="101">
      <c r="A101">
        <f>IFERROR(IF(ISNUMBER(VALUE(LEFT(Plan1!F78,FIND("-",Plan1!F78)-1))),TRIM(MID(Plan1!F78,FIND("-",Plan1!F78)+1,200)),TRIM(Plan1!F78)),TRIM(Plan1!F78))</f>
        <v/>
      </c>
      <c r="B101">
        <f>IF(A101="","",MAX(1,N(Plan1!G78)+N(Plan1!H78)))</f>
        <v/>
      </c>
      <c r="D101">
        <f>IF(A101="","",TRIM(Plan1!$F$67))</f>
        <v/>
      </c>
    </row>
    <row r="102">
      <c r="A102">
        <f>IFERROR(IF(ISNUMBER(VALUE(LEFT(Plan1!B85,FIND("-",Plan1!B85)-1))),TRIM(MID(Plan1!B85,FIND("-",Plan1!B85)+1,200)),TRIM(Plan1!B85)),TRIM(Plan1!B85))</f>
        <v/>
      </c>
      <c r="B102">
        <f>IF(A102="","",MAX(1,N(Plan1!C85)+N(Plan1!D85)))</f>
        <v/>
      </c>
      <c r="D102">
        <f>IF(A102="","",TRIM(Plan1!$B$83))</f>
        <v/>
      </c>
    </row>
    <row r="103">
      <c r="A103">
        <f>IFERROR(IF(ISNUMBER(VALUE(LEFT(Plan1!B86,FIND("-",Plan1!B86)-1))),TRIM(MID(Plan1!B86,FIND("-",Plan1!B86)+1,200)),TRIM(Plan1!B86)),TRIM(Plan1!B86))</f>
        <v/>
      </c>
      <c r="B103">
        <f>IF(A103="","",MAX(1,N(Plan1!C86)+N(Plan1!D86)))</f>
        <v/>
      </c>
      <c r="D103">
        <f>IF(A103="","",TRIM(Plan1!$B$83))</f>
        <v/>
      </c>
    </row>
    <row r="104">
      <c r="A104">
        <f>IFERROR(IF(ISNUMBER(VALUE(LEFT(Plan1!B87,FIND("-",Plan1!B87)-1))),TRIM(MID(Plan1!B87,FIND("-",Plan1!B87)+1,200)),TRIM(Plan1!B87)),TRIM(Plan1!B87))</f>
        <v/>
      </c>
      <c r="B104">
        <f>IF(A104="","",MAX(1,N(Plan1!C87)+N(Plan1!D87)))</f>
        <v/>
      </c>
      <c r="D104">
        <f>IF(A104="","",TRIM(Plan1!$B$83))</f>
        <v/>
      </c>
    </row>
    <row r="105">
      <c r="A105">
        <f>IFERROR(IF(ISNUMBER(VALUE(LEFT(Plan1!B88,FIND("-",Plan1!B88)-1))),TRIM(MID(Plan1!B88,FIND("-",Plan1!B88)+1,200)),TRIM(Plan1!B88)),TRIM(Plan1!B88))</f>
        <v/>
      </c>
      <c r="B105">
        <f>IF(A105="","",MAX(1,N(Plan1!C88)+N(Plan1!D88)))</f>
        <v/>
      </c>
      <c r="D105">
        <f>IF(A105="","",TRIM(Plan1!$B$83))</f>
        <v/>
      </c>
    </row>
    <row r="106">
      <c r="A106">
        <f>IFERROR(IF(ISNUMBER(VALUE(LEFT(Plan1!B89,FIND("-",Plan1!B89)-1))),TRIM(MID(Plan1!B89,FIND("-",Plan1!B89)+1,200)),TRIM(Plan1!B89)),TRIM(Plan1!B89))</f>
        <v/>
      </c>
      <c r="B106">
        <f>IF(A106="","",MAX(1,N(Plan1!C89)+N(Plan1!D89)))</f>
        <v/>
      </c>
      <c r="D106">
        <f>IF(A106="","",TRIM(Plan1!$B$83))</f>
        <v/>
      </c>
    </row>
    <row r="107">
      <c r="A107">
        <f>IFERROR(IF(ISNUMBER(VALUE(LEFT(Plan1!B90,FIND("-",Plan1!B90)-1))),TRIM(MID(Plan1!B90,FIND("-",Plan1!B90)+1,200)),TRIM(Plan1!B90)),TRIM(Plan1!B90))</f>
        <v/>
      </c>
      <c r="B107">
        <f>IF(A107="","",MAX(1,N(Plan1!C90)+N(Plan1!D90)))</f>
        <v/>
      </c>
      <c r="D107">
        <f>IF(A107="","",TRIM(Plan1!$B$83))</f>
        <v/>
      </c>
    </row>
    <row r="108">
      <c r="A108">
        <f>IFERROR(IF(ISNUMBER(VALUE(LEFT(Plan1!B91,FIND("-",Plan1!B91)-1))),TRIM(MID(Plan1!B91,FIND("-",Plan1!B91)+1,200)),TRIM(Plan1!B91)),TRIM(Plan1!B91))</f>
        <v/>
      </c>
      <c r="B108">
        <f>IF(A108="","",MAX(1,N(Plan1!C91)+N(Plan1!D91)))</f>
        <v/>
      </c>
      <c r="D108">
        <f>IF(A108="","",TRIM(Plan1!$B$83))</f>
        <v/>
      </c>
    </row>
    <row r="109">
      <c r="A109">
        <f>IFERROR(IF(ISNUMBER(VALUE(LEFT(Plan1!B92,FIND("-",Plan1!B92)-1))),TRIM(MID(Plan1!B92,FIND("-",Plan1!B92)+1,200)),TRIM(Plan1!B92)),TRIM(Plan1!B92))</f>
        <v/>
      </c>
      <c r="B109">
        <f>IF(A109="","",MAX(1,N(Plan1!C92)+N(Plan1!D92)))</f>
        <v/>
      </c>
      <c r="D109">
        <f>IF(A109="","",TRIM(Plan1!$B$83))</f>
        <v/>
      </c>
    </row>
    <row r="110">
      <c r="A110">
        <f>IFERROR(IF(ISNUMBER(VALUE(LEFT(Plan1!B93,FIND("-",Plan1!B93)-1))),TRIM(MID(Plan1!B93,FIND("-",Plan1!B93)+1,200)),TRIM(Plan1!B93)),TRIM(Plan1!B93))</f>
        <v/>
      </c>
      <c r="B110">
        <f>IF(A110="","",MAX(1,N(Plan1!C93)+N(Plan1!D93)))</f>
        <v/>
      </c>
      <c r="D110">
        <f>IF(A110="","",TRIM(Plan1!$B$83))</f>
        <v/>
      </c>
    </row>
    <row r="111">
      <c r="A111">
        <f>IFERROR(IF(ISNUMBER(VALUE(LEFT(Plan1!B94,FIND("-",Plan1!B94)-1))),TRIM(MID(Plan1!B94,FIND("-",Plan1!B94)+1,200)),TRIM(Plan1!B94)),TRIM(Plan1!B94))</f>
        <v/>
      </c>
      <c r="B111">
        <f>IF(A111="","",MAX(1,N(Plan1!C94)+N(Plan1!D94)))</f>
        <v/>
      </c>
      <c r="D111">
        <f>IF(A111="","",TRIM(Plan1!$B$83))</f>
        <v/>
      </c>
    </row>
    <row r="112">
      <c r="A112">
        <f>IFERROR(IF(ISNUMBER(VALUE(LEFT(Plan1!F85,FIND("-",Plan1!F85)-1))),TRIM(MID(Plan1!F85,FIND("-",Plan1!F85)+1,200)),TRIM(Plan1!F85)),TRIM(Plan1!F85))</f>
        <v/>
      </c>
      <c r="B112">
        <f>IF(A112="","",MAX(1,N(Plan1!G85)+N(Plan1!H85)))</f>
        <v/>
      </c>
      <c r="D112">
        <f>IF(A112="","",TRIM(Plan1!$F$83))</f>
        <v/>
      </c>
    </row>
    <row r="113">
      <c r="A113">
        <f>IFERROR(IF(ISNUMBER(VALUE(LEFT(Plan1!F86,FIND("-",Plan1!F86)-1))),TRIM(MID(Plan1!F86,FIND("-",Plan1!F86)+1,200)),TRIM(Plan1!F86)),TRIM(Plan1!F86))</f>
        <v/>
      </c>
      <c r="B113">
        <f>IF(A113="","",MAX(1,N(Plan1!G86)+N(Plan1!H86)))</f>
        <v/>
      </c>
      <c r="D113">
        <f>IF(A113="","",TRIM(Plan1!$F$83))</f>
        <v/>
      </c>
    </row>
    <row r="114">
      <c r="A114">
        <f>IFERROR(IF(ISNUMBER(VALUE(LEFT(Plan1!F87,FIND("-",Plan1!F87)-1))),TRIM(MID(Plan1!F87,FIND("-",Plan1!F87)+1,200)),TRIM(Plan1!F87)),TRIM(Plan1!F87))</f>
        <v/>
      </c>
      <c r="B114">
        <f>IF(A114="","",MAX(1,N(Plan1!G87)+N(Plan1!H87)))</f>
        <v/>
      </c>
      <c r="D114">
        <f>IF(A114="","",TRIM(Plan1!$F$83))</f>
        <v/>
      </c>
    </row>
    <row r="115">
      <c r="A115">
        <f>IFERROR(IF(ISNUMBER(VALUE(LEFT(Plan1!F88,FIND("-",Plan1!F88)-1))),TRIM(MID(Plan1!F88,FIND("-",Plan1!F88)+1,200)),TRIM(Plan1!F88)),TRIM(Plan1!F88))</f>
        <v/>
      </c>
      <c r="B115">
        <f>IF(A115="","",MAX(1,N(Plan1!G88)+N(Plan1!H88)))</f>
        <v/>
      </c>
      <c r="D115">
        <f>IF(A115="","",TRIM(Plan1!$F$83))</f>
        <v/>
      </c>
    </row>
    <row r="116">
      <c r="A116">
        <f>IFERROR(IF(ISNUMBER(VALUE(LEFT(Plan1!F89,FIND("-",Plan1!F89)-1))),TRIM(MID(Plan1!F89,FIND("-",Plan1!F89)+1,200)),TRIM(Plan1!F89)),TRIM(Plan1!F89))</f>
        <v/>
      </c>
      <c r="B116">
        <f>IF(A116="","",MAX(1,N(Plan1!G89)+N(Plan1!H89)))</f>
        <v/>
      </c>
      <c r="D116">
        <f>IF(A116="","",TRIM(Plan1!$F$83))</f>
        <v/>
      </c>
    </row>
    <row r="117">
      <c r="A117">
        <f>IFERROR(IF(ISNUMBER(VALUE(LEFT(Plan1!F90,FIND("-",Plan1!F90)-1))),TRIM(MID(Plan1!F90,FIND("-",Plan1!F90)+1,200)),TRIM(Plan1!F90)),TRIM(Plan1!F90))</f>
        <v/>
      </c>
      <c r="B117">
        <f>IF(A117="","",MAX(1,N(Plan1!G90)+N(Plan1!H90)))</f>
        <v/>
      </c>
      <c r="D117">
        <f>IF(A117="","",TRIM(Plan1!$F$83))</f>
        <v/>
      </c>
    </row>
    <row r="118">
      <c r="A118">
        <f>IFERROR(IF(ISNUMBER(VALUE(LEFT(Plan1!F91,FIND("-",Plan1!F91)-1))),TRIM(MID(Plan1!F91,FIND("-",Plan1!F91)+1,200)),TRIM(Plan1!F91)),TRIM(Plan1!F91))</f>
        <v/>
      </c>
      <c r="B118">
        <f>IF(A118="","",MAX(1,N(Plan1!G91)+N(Plan1!H91)))</f>
        <v/>
      </c>
      <c r="D118">
        <f>IF(A118="","",TRIM(Plan1!$F$83))</f>
        <v/>
      </c>
    </row>
    <row r="119">
      <c r="A119">
        <f>IFERROR(IF(ISNUMBER(VALUE(LEFT(Plan1!F92,FIND("-",Plan1!F92)-1))),TRIM(MID(Plan1!F92,FIND("-",Plan1!F92)+1,200)),TRIM(Plan1!F92)),TRIM(Plan1!F92))</f>
        <v/>
      </c>
      <c r="B119">
        <f>IF(A119="","",MAX(1,N(Plan1!G92)+N(Plan1!H92)))</f>
        <v/>
      </c>
      <c r="D119">
        <f>IF(A119="","",TRIM(Plan1!$F$83))</f>
        <v/>
      </c>
    </row>
    <row r="120">
      <c r="A120">
        <f>IFERROR(IF(ISNUMBER(VALUE(LEFT(Plan1!F93,FIND("-",Plan1!F93)-1))),TRIM(MID(Plan1!F93,FIND("-",Plan1!F93)+1,200)),TRIM(Plan1!F93)),TRIM(Plan1!F93))</f>
        <v/>
      </c>
      <c r="B120">
        <f>IF(A120="","",MAX(1,N(Plan1!G93)+N(Plan1!H93)))</f>
        <v/>
      </c>
      <c r="D120">
        <f>IF(A120="","",TRIM(Plan1!$F$83))</f>
        <v/>
      </c>
    </row>
    <row r="121">
      <c r="A121">
        <f>IFERROR(IF(ISNUMBER(VALUE(LEFT(Plan1!F94,FIND("-",Plan1!F94)-1))),TRIM(MID(Plan1!F94,FIND("-",Plan1!F94)+1,200)),TRIM(Plan1!F94)),TRIM(Plan1!F94))</f>
        <v/>
      </c>
      <c r="B121">
        <f>IF(A121="","",MAX(1,N(Plan1!G94)+N(Plan1!H94)))</f>
        <v/>
      </c>
      <c r="D121">
        <f>IF(A121="","",TRIM(Plan1!$F$83))</f>
        <v/>
      </c>
    </row>
    <row r="122">
      <c r="A122">
        <f>IFERROR(IF(ISNUMBER(VALUE(LEFT(Plan1!B101,FIND("-",Plan1!B101)-1))),TRIM(MID(Plan1!B101,FIND("-",Plan1!B101)+1,200)),TRIM(Plan1!B101)),TRIM(Plan1!B101))</f>
        <v/>
      </c>
      <c r="B122">
        <f>IF(A122="","",MAX(1,N(Plan1!C101)+N(Plan1!D101)))</f>
        <v/>
      </c>
      <c r="D122">
        <f>IF(A122="","",TRIM(Plan1!$B$99))</f>
        <v/>
      </c>
    </row>
    <row r="123">
      <c r="A123">
        <f>IFERROR(IF(ISNUMBER(VALUE(LEFT(Plan1!B102,FIND("-",Plan1!B102)-1))),TRIM(MID(Plan1!B102,FIND("-",Plan1!B102)+1,200)),TRIM(Plan1!B102)),TRIM(Plan1!B102))</f>
        <v/>
      </c>
      <c r="B123">
        <f>IF(A123="","",MAX(1,N(Plan1!C102)+N(Plan1!D102)))</f>
        <v/>
      </c>
      <c r="D123">
        <f>IF(A123="","",TRIM(Plan1!$B$99))</f>
        <v/>
      </c>
    </row>
    <row r="124">
      <c r="A124">
        <f>IFERROR(IF(ISNUMBER(VALUE(LEFT(Plan1!B103,FIND("-",Plan1!B103)-1))),TRIM(MID(Plan1!B103,FIND("-",Plan1!B103)+1,200)),TRIM(Plan1!B103)),TRIM(Plan1!B103))</f>
        <v/>
      </c>
      <c r="B124">
        <f>IF(A124="","",MAX(1,N(Plan1!C103)+N(Plan1!D103)))</f>
        <v/>
      </c>
      <c r="D124">
        <f>IF(A124="","",TRIM(Plan1!$B$99))</f>
        <v/>
      </c>
    </row>
    <row r="125">
      <c r="A125">
        <f>IFERROR(IF(ISNUMBER(VALUE(LEFT(Plan1!B104,FIND("-",Plan1!B104)-1))),TRIM(MID(Plan1!B104,FIND("-",Plan1!B104)+1,200)),TRIM(Plan1!B104)),TRIM(Plan1!B104))</f>
        <v/>
      </c>
      <c r="B125">
        <f>IF(A125="","",MAX(1,N(Plan1!C104)+N(Plan1!D104)))</f>
        <v/>
      </c>
      <c r="D125">
        <f>IF(A125="","",TRIM(Plan1!$B$99))</f>
        <v/>
      </c>
    </row>
    <row r="126">
      <c r="A126">
        <f>IFERROR(IF(ISNUMBER(VALUE(LEFT(Plan1!B105,FIND("-",Plan1!B105)-1))),TRIM(MID(Plan1!B105,FIND("-",Plan1!B105)+1,200)),TRIM(Plan1!B105)),TRIM(Plan1!B105))</f>
        <v/>
      </c>
      <c r="B126">
        <f>IF(A126="","",MAX(1,N(Plan1!C105)+N(Plan1!D105)))</f>
        <v/>
      </c>
      <c r="D126">
        <f>IF(A126="","",TRIM(Plan1!$B$99))</f>
        <v/>
      </c>
    </row>
    <row r="127">
      <c r="A127">
        <f>IFERROR(IF(ISNUMBER(VALUE(LEFT(Plan1!B106,FIND("-",Plan1!B106)-1))),TRIM(MID(Plan1!B106,FIND("-",Plan1!B106)+1,200)),TRIM(Plan1!B106)),TRIM(Plan1!B106))</f>
        <v/>
      </c>
      <c r="B127">
        <f>IF(A127="","",MAX(1,N(Plan1!C106)+N(Plan1!D106)))</f>
        <v/>
      </c>
      <c r="D127">
        <f>IF(A127="","",TRIM(Plan1!$B$99))</f>
        <v/>
      </c>
    </row>
    <row r="128">
      <c r="A128">
        <f>IFERROR(IF(ISNUMBER(VALUE(LEFT(Plan1!B107,FIND("-",Plan1!B107)-1))),TRIM(MID(Plan1!B107,FIND("-",Plan1!B107)+1,200)),TRIM(Plan1!B107)),TRIM(Plan1!B107))</f>
        <v/>
      </c>
      <c r="B128">
        <f>IF(A128="","",MAX(1,N(Plan1!C107)+N(Plan1!D107)))</f>
        <v/>
      </c>
      <c r="D128">
        <f>IF(A128="","",TRIM(Plan1!$B$99))</f>
        <v/>
      </c>
    </row>
    <row r="129">
      <c r="A129">
        <f>IFERROR(IF(ISNUMBER(VALUE(LEFT(Plan1!B108,FIND("-",Plan1!B108)-1))),TRIM(MID(Plan1!B108,FIND("-",Plan1!B108)+1,200)),TRIM(Plan1!B108)),TRIM(Plan1!B108))</f>
        <v/>
      </c>
      <c r="B129">
        <f>IF(A129="","",MAX(1,N(Plan1!C108)+N(Plan1!D108)))</f>
        <v/>
      </c>
      <c r="D129">
        <f>IF(A129="","",TRIM(Plan1!$B$99))</f>
        <v/>
      </c>
    </row>
    <row r="130">
      <c r="A130">
        <f>IFERROR(IF(ISNUMBER(VALUE(LEFT(Plan1!B109,FIND("-",Plan1!B109)-1))),TRIM(MID(Plan1!B109,FIND("-",Plan1!B109)+1,200)),TRIM(Plan1!B109)),TRIM(Plan1!B109))</f>
        <v/>
      </c>
      <c r="B130">
        <f>IF(A130="","",MAX(1,N(Plan1!C109)+N(Plan1!D109)))</f>
        <v/>
      </c>
      <c r="D130">
        <f>IF(A130="","",TRIM(Plan1!$B$99))</f>
        <v/>
      </c>
    </row>
    <row r="131">
      <c r="A131">
        <f>IFERROR(IF(ISNUMBER(VALUE(LEFT(Plan1!B110,FIND("-",Plan1!B110)-1))),TRIM(MID(Plan1!B110,FIND("-",Plan1!B110)+1,200)),TRIM(Plan1!B110)),TRIM(Plan1!B110))</f>
        <v/>
      </c>
      <c r="B131">
        <f>IF(A131="","",MAX(1,N(Plan1!C110)+N(Plan1!D110)))</f>
        <v/>
      </c>
      <c r="D131">
        <f>IF(A131="","",TRIM(Plan1!$B$99))</f>
        <v/>
      </c>
    </row>
    <row r="132">
      <c r="A132">
        <f>IFERROR(IF(ISNUMBER(VALUE(LEFT(Plan1!F101,FIND("-",Plan1!F101)-1))),TRIM(MID(Plan1!F101,FIND("-",Plan1!F101)+1,200)),TRIM(Plan1!F101)),TRIM(Plan1!F101))</f>
        <v/>
      </c>
      <c r="B132">
        <f>IF(A132="","",MAX(1,N(Plan1!G101)+N(Plan1!H101)))</f>
        <v/>
      </c>
      <c r="D132">
        <f>IF(A132="","",TRIM(Plan1!$F$99))</f>
        <v/>
      </c>
    </row>
    <row r="133">
      <c r="A133">
        <f>IFERROR(IF(ISNUMBER(VALUE(LEFT(Plan1!F102,FIND("-",Plan1!F102)-1))),TRIM(MID(Plan1!F102,FIND("-",Plan1!F102)+1,200)),TRIM(Plan1!F102)),TRIM(Plan1!F102))</f>
        <v/>
      </c>
      <c r="B133">
        <f>IF(A133="","",MAX(1,N(Plan1!G102)+N(Plan1!H102)))</f>
        <v/>
      </c>
      <c r="D133">
        <f>IF(A133="","",TRIM(Plan1!$F$99))</f>
        <v/>
      </c>
    </row>
    <row r="134">
      <c r="A134">
        <f>IFERROR(IF(ISNUMBER(VALUE(LEFT(Plan1!F103,FIND("-",Plan1!F103)-1))),TRIM(MID(Plan1!F103,FIND("-",Plan1!F103)+1,200)),TRIM(Plan1!F103)),TRIM(Plan1!F103))</f>
        <v/>
      </c>
      <c r="B134">
        <f>IF(A134="","",MAX(1,N(Plan1!G103)+N(Plan1!H103)))</f>
        <v/>
      </c>
      <c r="D134">
        <f>IF(A134="","",TRIM(Plan1!$F$99))</f>
        <v/>
      </c>
    </row>
    <row r="135">
      <c r="A135">
        <f>IFERROR(IF(ISNUMBER(VALUE(LEFT(Plan1!F104,FIND("-",Plan1!F104)-1))),TRIM(MID(Plan1!F104,FIND("-",Plan1!F104)+1,200)),TRIM(Plan1!F104)),TRIM(Plan1!F104))</f>
        <v/>
      </c>
      <c r="B135">
        <f>IF(A135="","",MAX(1,N(Plan1!G104)+N(Plan1!H104)))</f>
        <v/>
      </c>
      <c r="D135">
        <f>IF(A135="","",TRIM(Plan1!$F$99))</f>
        <v/>
      </c>
    </row>
    <row r="136">
      <c r="A136">
        <f>IFERROR(IF(ISNUMBER(VALUE(LEFT(Plan1!F105,FIND("-",Plan1!F105)-1))),TRIM(MID(Plan1!F105,FIND("-",Plan1!F105)+1,200)),TRIM(Plan1!F105)),TRIM(Plan1!F105))</f>
        <v/>
      </c>
      <c r="B136">
        <f>IF(A136="","",MAX(1,N(Plan1!G105)+N(Plan1!H105)))</f>
        <v/>
      </c>
      <c r="D136">
        <f>IF(A136="","",TRIM(Plan1!$F$99))</f>
        <v/>
      </c>
    </row>
    <row r="137">
      <c r="A137">
        <f>IFERROR(IF(ISNUMBER(VALUE(LEFT(Plan1!F106,FIND("-",Plan1!F106)-1))),TRIM(MID(Plan1!F106,FIND("-",Plan1!F106)+1,200)),TRIM(Plan1!F106)),TRIM(Plan1!F106))</f>
        <v/>
      </c>
      <c r="B137">
        <f>IF(A137="","",MAX(1,N(Plan1!G106)+N(Plan1!H106)))</f>
        <v/>
      </c>
      <c r="D137">
        <f>IF(A137="","",TRIM(Plan1!$F$99))</f>
        <v/>
      </c>
    </row>
    <row r="138">
      <c r="A138">
        <f>IFERROR(IF(ISNUMBER(VALUE(LEFT(Plan1!F107,FIND("-",Plan1!F107)-1))),TRIM(MID(Plan1!F107,FIND("-",Plan1!F107)+1,200)),TRIM(Plan1!F107)),TRIM(Plan1!F107))</f>
        <v/>
      </c>
      <c r="B138">
        <f>IF(A138="","",MAX(1,N(Plan1!G107)+N(Plan1!H107)))</f>
        <v/>
      </c>
      <c r="D138">
        <f>IF(A138="","",TRIM(Plan1!$F$99))</f>
        <v/>
      </c>
    </row>
    <row r="139">
      <c r="A139">
        <f>IFERROR(IF(ISNUMBER(VALUE(LEFT(Plan1!F108,FIND("-",Plan1!F108)-1))),TRIM(MID(Plan1!F108,FIND("-",Plan1!F108)+1,200)),TRIM(Plan1!F108)),TRIM(Plan1!F108))</f>
        <v/>
      </c>
      <c r="B139">
        <f>IF(A139="","",MAX(1,N(Plan1!G108)+N(Plan1!H108)))</f>
        <v/>
      </c>
      <c r="D139">
        <f>IF(A139="","",TRIM(Plan1!$F$99))</f>
        <v/>
      </c>
    </row>
    <row r="140">
      <c r="A140">
        <f>IFERROR(IF(ISNUMBER(VALUE(LEFT(Plan1!F109,FIND("-",Plan1!F109)-1))),TRIM(MID(Plan1!F109,FIND("-",Plan1!F109)+1,200)),TRIM(Plan1!F109)),TRIM(Plan1!F109))</f>
        <v/>
      </c>
      <c r="B140">
        <f>IF(A140="","",MAX(1,N(Plan1!G109)+N(Plan1!H109)))</f>
        <v/>
      </c>
      <c r="D140">
        <f>IF(A140="","",TRIM(Plan1!$F$99))</f>
        <v/>
      </c>
    </row>
    <row r="141">
      <c r="A141">
        <f>IFERROR(IF(ISNUMBER(VALUE(LEFT(Plan1!F110,FIND("-",Plan1!F110)-1))),TRIM(MID(Plan1!F110,FIND("-",Plan1!F110)+1,200)),TRIM(Plan1!F110)),TRIM(Plan1!F110))</f>
        <v/>
      </c>
      <c r="B141">
        <f>IF(A141="","",MAX(1,N(Plan1!G110)+N(Plan1!H110)))</f>
        <v/>
      </c>
      <c r="D141">
        <f>IF(A141="","",TRIM(Plan1!$F$99))</f>
        <v/>
      </c>
    </row>
    <row r="142">
      <c r="A142">
        <f>IFERROR(IF(ISNUMBER(VALUE(LEFT(Plan1!B117,FIND("-",Plan1!B117)-1))),TRIM(MID(Plan1!B117,FIND("-",Plan1!B117)+1,200)),TRIM(Plan1!B117)),TRIM(Plan1!B117))</f>
        <v/>
      </c>
      <c r="B142">
        <f>IF(A142="","",MAX(1,N(Plan1!C117)+N(Plan1!D117)))</f>
        <v/>
      </c>
      <c r="D142">
        <f>IF(A142="","",TRIM(Plan1!$B$115))</f>
        <v/>
      </c>
    </row>
    <row r="143">
      <c r="A143">
        <f>IFERROR(IF(ISNUMBER(VALUE(LEFT(Plan1!B118,FIND("-",Plan1!B118)-1))),TRIM(MID(Plan1!B118,FIND("-",Plan1!B118)+1,200)),TRIM(Plan1!B118)),TRIM(Plan1!B118))</f>
        <v/>
      </c>
      <c r="B143">
        <f>IF(A143="","",MAX(1,N(Plan1!C118)+N(Plan1!D118)))</f>
        <v/>
      </c>
      <c r="D143">
        <f>IF(A143="","",TRIM(Plan1!$B$115))</f>
        <v/>
      </c>
    </row>
    <row r="144">
      <c r="A144">
        <f>IFERROR(IF(ISNUMBER(VALUE(LEFT(Plan1!B119,FIND("-",Plan1!B119)-1))),TRIM(MID(Plan1!B119,FIND("-",Plan1!B119)+1,200)),TRIM(Plan1!B119)),TRIM(Plan1!B119))</f>
        <v/>
      </c>
      <c r="B144">
        <f>IF(A144="","",MAX(1,N(Plan1!C119)+N(Plan1!D119)))</f>
        <v/>
      </c>
      <c r="D144">
        <f>IF(A144="","",TRIM(Plan1!$B$115))</f>
        <v/>
      </c>
    </row>
    <row r="145">
      <c r="A145">
        <f>IFERROR(IF(ISNUMBER(VALUE(LEFT(Plan1!B120,FIND("-",Plan1!B120)-1))),TRIM(MID(Plan1!B120,FIND("-",Plan1!B120)+1,200)),TRIM(Plan1!B120)),TRIM(Plan1!B120))</f>
        <v/>
      </c>
      <c r="B145">
        <f>IF(A145="","",MAX(1,N(Plan1!C120)+N(Plan1!D120)))</f>
        <v/>
      </c>
      <c r="D145">
        <f>IF(A145="","",TRIM(Plan1!$B$115))</f>
        <v/>
      </c>
    </row>
    <row r="146">
      <c r="A146">
        <f>IFERROR(IF(ISNUMBER(VALUE(LEFT(Plan1!B121,FIND("-",Plan1!B121)-1))),TRIM(MID(Plan1!B121,FIND("-",Plan1!B121)+1,200)),TRIM(Plan1!B121)),TRIM(Plan1!B121))</f>
        <v/>
      </c>
      <c r="B146">
        <f>IF(A146="","",MAX(1,N(Plan1!C121)+N(Plan1!D121)))</f>
        <v/>
      </c>
      <c r="D146">
        <f>IF(A146="","",TRIM(Plan1!$B$115))</f>
        <v/>
      </c>
    </row>
    <row r="147">
      <c r="A147">
        <f>IFERROR(IF(ISNUMBER(VALUE(LEFT(Plan1!B122,FIND("-",Plan1!B122)-1))),TRIM(MID(Plan1!B122,FIND("-",Plan1!B122)+1,200)),TRIM(Plan1!B122)),TRIM(Plan1!B122))</f>
        <v/>
      </c>
      <c r="B147">
        <f>IF(A147="","",MAX(1,N(Plan1!C122)+N(Plan1!D122)))</f>
        <v/>
      </c>
      <c r="D147">
        <f>IF(A147="","",TRIM(Plan1!$B$115))</f>
        <v/>
      </c>
    </row>
    <row r="148">
      <c r="A148">
        <f>IFERROR(IF(ISNUMBER(VALUE(LEFT(Plan1!B123,FIND("-",Plan1!B123)-1))),TRIM(MID(Plan1!B123,FIND("-",Plan1!B123)+1,200)),TRIM(Plan1!B123)),TRIM(Plan1!B123))</f>
        <v/>
      </c>
      <c r="B148">
        <f>IF(A148="","",MAX(1,N(Plan1!C123)+N(Plan1!D123)))</f>
        <v/>
      </c>
      <c r="D148">
        <f>IF(A148="","",TRIM(Plan1!$B$115))</f>
        <v/>
      </c>
    </row>
    <row r="149">
      <c r="A149">
        <f>IFERROR(IF(ISNUMBER(VALUE(LEFT(Plan1!B124,FIND("-",Plan1!B124)-1))),TRIM(MID(Plan1!B124,FIND("-",Plan1!B124)+1,200)),TRIM(Plan1!B124)),TRIM(Plan1!B124))</f>
        <v/>
      </c>
      <c r="B149">
        <f>IF(A149="","",MAX(1,N(Plan1!C124)+N(Plan1!D124)))</f>
        <v/>
      </c>
      <c r="D149">
        <f>IF(A149="","",TRIM(Plan1!$B$115))</f>
        <v/>
      </c>
    </row>
    <row r="150">
      <c r="A150">
        <f>IFERROR(IF(ISNUMBER(VALUE(LEFT(Plan1!B125,FIND("-",Plan1!B125)-1))),TRIM(MID(Plan1!B125,FIND("-",Plan1!B125)+1,200)),TRIM(Plan1!B125)),TRIM(Plan1!B125))</f>
        <v/>
      </c>
      <c r="B150">
        <f>IF(A150="","",MAX(1,N(Plan1!C125)+N(Plan1!D125)))</f>
        <v/>
      </c>
      <c r="D150">
        <f>IF(A150="","",TRIM(Plan1!$B$115))</f>
        <v/>
      </c>
    </row>
    <row r="151">
      <c r="A151">
        <f>IFERROR(IF(ISNUMBER(VALUE(LEFT(Plan1!B126,FIND("-",Plan1!B126)-1))),TRIM(MID(Plan1!B126,FIND("-",Plan1!B126)+1,200)),TRIM(Plan1!B126)),TRIM(Plan1!B126))</f>
        <v/>
      </c>
      <c r="B151">
        <f>IF(A151="","",MAX(1,N(Plan1!C126)+N(Plan1!D126)))</f>
        <v/>
      </c>
      <c r="D151">
        <f>IF(A151="","",TRIM(Plan1!$B$115))</f>
        <v/>
      </c>
    </row>
    <row r="152">
      <c r="A152">
        <f>IFERROR(IF(ISNUMBER(VALUE(LEFT(Plan1!F117,FIND("-",Plan1!F117)-1))),TRIM(MID(Plan1!F117,FIND("-",Plan1!F117)+1,200)),TRIM(Plan1!F117)),TRIM(Plan1!F117))</f>
        <v/>
      </c>
      <c r="B152">
        <f>IF(A152="","",MAX(1,N(Plan1!G117)+N(Plan1!H117)))</f>
        <v/>
      </c>
      <c r="D152">
        <f>IF(A152="","",TRIM(Plan1!$F$115))</f>
        <v/>
      </c>
    </row>
    <row r="153">
      <c r="A153">
        <f>IFERROR(IF(ISNUMBER(VALUE(LEFT(Plan1!F118,FIND("-",Plan1!F118)-1))),TRIM(MID(Plan1!F118,FIND("-",Plan1!F118)+1,200)),TRIM(Plan1!F118)),TRIM(Plan1!F118))</f>
        <v/>
      </c>
      <c r="B153">
        <f>IF(A153="","",MAX(1,N(Plan1!G118)+N(Plan1!H118)))</f>
        <v/>
      </c>
      <c r="D153">
        <f>IF(A153="","",TRIM(Plan1!$F$115))</f>
        <v/>
      </c>
    </row>
    <row r="154">
      <c r="A154">
        <f>IFERROR(IF(ISNUMBER(VALUE(LEFT(Plan1!F119,FIND("-",Plan1!F119)-1))),TRIM(MID(Plan1!F119,FIND("-",Plan1!F119)+1,200)),TRIM(Plan1!F119)),TRIM(Plan1!F119))</f>
        <v/>
      </c>
      <c r="B154">
        <f>IF(A154="","",MAX(1,N(Plan1!G119)+N(Plan1!H119)))</f>
        <v/>
      </c>
      <c r="D154">
        <f>IF(A154="","",TRIM(Plan1!$F$115))</f>
        <v/>
      </c>
    </row>
    <row r="155">
      <c r="A155">
        <f>IFERROR(IF(ISNUMBER(VALUE(LEFT(Plan1!F120,FIND("-",Plan1!F120)-1))),TRIM(MID(Plan1!F120,FIND("-",Plan1!F120)+1,200)),TRIM(Plan1!F120)),TRIM(Plan1!F120))</f>
        <v/>
      </c>
      <c r="B155">
        <f>IF(A155="","",MAX(1,N(Plan1!G120)+N(Plan1!H120)))</f>
        <v/>
      </c>
      <c r="D155">
        <f>IF(A155="","",TRIM(Plan1!$F$115))</f>
        <v/>
      </c>
    </row>
    <row r="156">
      <c r="A156">
        <f>IFERROR(IF(ISNUMBER(VALUE(LEFT(Plan1!F121,FIND("-",Plan1!F121)-1))),TRIM(MID(Plan1!F121,FIND("-",Plan1!F121)+1,200)),TRIM(Plan1!F121)),TRIM(Plan1!F121))</f>
        <v/>
      </c>
      <c r="B156">
        <f>IF(A156="","",MAX(1,N(Plan1!G121)+N(Plan1!H121)))</f>
        <v/>
      </c>
      <c r="D156">
        <f>IF(A156="","",TRIM(Plan1!$F$115))</f>
        <v/>
      </c>
    </row>
    <row r="157">
      <c r="A157">
        <f>IFERROR(IF(ISNUMBER(VALUE(LEFT(Plan1!F122,FIND("-",Plan1!F122)-1))),TRIM(MID(Plan1!F122,FIND("-",Plan1!F122)+1,200)),TRIM(Plan1!F122)),TRIM(Plan1!F122))</f>
        <v/>
      </c>
      <c r="B157">
        <f>IF(A157="","",MAX(1,N(Plan1!G122)+N(Plan1!H122)))</f>
        <v/>
      </c>
      <c r="D157">
        <f>IF(A157="","",TRIM(Plan1!$F$115))</f>
        <v/>
      </c>
    </row>
    <row r="158">
      <c r="A158">
        <f>IFERROR(IF(ISNUMBER(VALUE(LEFT(Plan1!F123,FIND("-",Plan1!F123)-1))),TRIM(MID(Plan1!F123,FIND("-",Plan1!F123)+1,200)),TRIM(Plan1!F123)),TRIM(Plan1!F123))</f>
        <v/>
      </c>
      <c r="B158">
        <f>IF(A158="","",MAX(1,N(Plan1!G123)+N(Plan1!H123)))</f>
        <v/>
      </c>
      <c r="D158">
        <f>IF(A158="","",TRIM(Plan1!$F$115))</f>
        <v/>
      </c>
    </row>
    <row r="159">
      <c r="A159">
        <f>IFERROR(IF(ISNUMBER(VALUE(LEFT(Plan1!F124,FIND("-",Plan1!F124)-1))),TRIM(MID(Plan1!F124,FIND("-",Plan1!F124)+1,200)),TRIM(Plan1!F124)),TRIM(Plan1!F124))</f>
        <v/>
      </c>
      <c r="B159">
        <f>IF(A159="","",MAX(1,N(Plan1!G124)+N(Plan1!H124)))</f>
        <v/>
      </c>
      <c r="D159">
        <f>IF(A159="","",TRIM(Plan1!$F$115))</f>
        <v/>
      </c>
    </row>
    <row r="160">
      <c r="A160">
        <f>IFERROR(IF(ISNUMBER(VALUE(LEFT(Plan1!F125,FIND("-",Plan1!F125)-1))),TRIM(MID(Plan1!F125,FIND("-",Plan1!F125)+1,200)),TRIM(Plan1!F125)),TRIM(Plan1!F125))</f>
        <v/>
      </c>
      <c r="B160">
        <f>IF(A160="","",MAX(1,N(Plan1!G125)+N(Plan1!H125)))</f>
        <v/>
      </c>
      <c r="D160">
        <f>IF(A160="","",TRIM(Plan1!$F$115))</f>
        <v/>
      </c>
    </row>
    <row r="161">
      <c r="A161">
        <f>IFERROR(IF(ISNUMBER(VALUE(LEFT(Plan1!F126,FIND("-",Plan1!F126)-1))),TRIM(MID(Plan1!F126,FIND("-",Plan1!F126)+1,200)),TRIM(Plan1!F126)),TRIM(Plan1!F126))</f>
        <v/>
      </c>
      <c r="B161">
        <f>IF(A161="","",MAX(1,N(Plan1!G126)+N(Plan1!H126)))</f>
        <v/>
      </c>
      <c r="D161">
        <f>IF(A161="","",TRIM(Plan1!$F$115))</f>
        <v/>
      </c>
    </row>
    <row r="162">
      <c r="A162">
        <f>IFERROR(IF(ISNUMBER(VALUE(LEFT(Plan1!B133,FIND("-",Plan1!B133)-1))),TRIM(MID(Plan1!B133,FIND("-",Plan1!B133)+1,200)),TRIM(Plan1!B133)),TRIM(Plan1!B133))</f>
        <v/>
      </c>
      <c r="B162">
        <f>IF(A162="","",MAX(1,N(Plan1!C133)+N(Plan1!D133)))</f>
        <v/>
      </c>
      <c r="D162">
        <f>IF(A162="","",TRIM(Plan1!$B$131))</f>
        <v/>
      </c>
    </row>
    <row r="163">
      <c r="A163">
        <f>IFERROR(IF(ISNUMBER(VALUE(LEFT(Plan1!B134,FIND("-",Plan1!B134)-1))),TRIM(MID(Plan1!B134,FIND("-",Plan1!B134)+1,200)),TRIM(Plan1!B134)),TRIM(Plan1!B134))</f>
        <v/>
      </c>
      <c r="B163">
        <f>IF(A163="","",MAX(1,N(Plan1!C134)+N(Plan1!D134)))</f>
        <v/>
      </c>
      <c r="D163">
        <f>IF(A163="","",TRIM(Plan1!$B$131))</f>
        <v/>
      </c>
    </row>
    <row r="164">
      <c r="A164">
        <f>IFERROR(IF(ISNUMBER(VALUE(LEFT(Plan1!B135,FIND("-",Plan1!B135)-1))),TRIM(MID(Plan1!B135,FIND("-",Plan1!B135)+1,200)),TRIM(Plan1!B135)),TRIM(Plan1!B135))</f>
        <v/>
      </c>
      <c r="B164">
        <f>IF(A164="","",MAX(1,N(Plan1!C135)+N(Plan1!D135)))</f>
        <v/>
      </c>
      <c r="D164">
        <f>IF(A164="","",TRIM(Plan1!$B$131))</f>
        <v/>
      </c>
    </row>
    <row r="165">
      <c r="A165">
        <f>IFERROR(IF(ISNUMBER(VALUE(LEFT(Plan1!B136,FIND("-",Plan1!B136)-1))),TRIM(MID(Plan1!B136,FIND("-",Plan1!B136)+1,200)),TRIM(Plan1!B136)),TRIM(Plan1!B136))</f>
        <v/>
      </c>
      <c r="B165">
        <f>IF(A165="","",MAX(1,N(Plan1!C136)+N(Plan1!D136)))</f>
        <v/>
      </c>
      <c r="D165">
        <f>IF(A165="","",TRIM(Plan1!$B$131))</f>
        <v/>
      </c>
    </row>
    <row r="166">
      <c r="A166">
        <f>IFERROR(IF(ISNUMBER(VALUE(LEFT(Plan1!B137,FIND("-",Plan1!B137)-1))),TRIM(MID(Plan1!B137,FIND("-",Plan1!B137)+1,200)),TRIM(Plan1!B137)),TRIM(Plan1!B137))</f>
        <v/>
      </c>
      <c r="B166">
        <f>IF(A166="","",MAX(1,N(Plan1!C137)+N(Plan1!D137)))</f>
        <v/>
      </c>
      <c r="D166">
        <f>IF(A166="","",TRIM(Plan1!$B$131))</f>
        <v/>
      </c>
    </row>
    <row r="167">
      <c r="A167">
        <f>IFERROR(IF(ISNUMBER(VALUE(LEFT(Plan1!B138,FIND("-",Plan1!B138)-1))),TRIM(MID(Plan1!B138,FIND("-",Plan1!B138)+1,200)),TRIM(Plan1!B138)),TRIM(Plan1!B138))</f>
        <v/>
      </c>
      <c r="B167">
        <f>IF(A167="","",MAX(1,N(Plan1!C138)+N(Plan1!D138)))</f>
        <v/>
      </c>
      <c r="D167">
        <f>IF(A167="","",TRIM(Plan1!$B$131))</f>
        <v/>
      </c>
    </row>
    <row r="168">
      <c r="A168">
        <f>IFERROR(IF(ISNUMBER(VALUE(LEFT(Plan1!B139,FIND("-",Plan1!B139)-1))),TRIM(MID(Plan1!B139,FIND("-",Plan1!B139)+1,200)),TRIM(Plan1!B139)),TRIM(Plan1!B139))</f>
        <v/>
      </c>
      <c r="B168">
        <f>IF(A168="","",MAX(1,N(Plan1!C139)+N(Plan1!D139)))</f>
        <v/>
      </c>
      <c r="D168">
        <f>IF(A168="","",TRIM(Plan1!$B$131))</f>
        <v/>
      </c>
    </row>
    <row r="169">
      <c r="A169">
        <f>IFERROR(IF(ISNUMBER(VALUE(LEFT(Plan1!B140,FIND("-",Plan1!B140)-1))),TRIM(MID(Plan1!B140,FIND("-",Plan1!B140)+1,200)),TRIM(Plan1!B140)),TRIM(Plan1!B140))</f>
        <v/>
      </c>
      <c r="B169">
        <f>IF(A169="","",MAX(1,N(Plan1!C140)+N(Plan1!D140)))</f>
        <v/>
      </c>
      <c r="D169">
        <f>IF(A169="","",TRIM(Plan1!$B$131))</f>
        <v/>
      </c>
    </row>
    <row r="170">
      <c r="A170">
        <f>IFERROR(IF(ISNUMBER(VALUE(LEFT(Plan1!B141,FIND("-",Plan1!B141)-1))),TRIM(MID(Plan1!B141,FIND("-",Plan1!B141)+1,200)),TRIM(Plan1!B141)),TRIM(Plan1!B141))</f>
        <v/>
      </c>
      <c r="B170">
        <f>IF(A170="","",MAX(1,N(Plan1!C141)+N(Plan1!D141)))</f>
        <v/>
      </c>
      <c r="D170">
        <f>IF(A170="","",TRIM(Plan1!$B$131))</f>
        <v/>
      </c>
    </row>
    <row r="171">
      <c r="A171">
        <f>IFERROR(IF(ISNUMBER(VALUE(LEFT(Plan1!B142,FIND("-",Plan1!B142)-1))),TRIM(MID(Plan1!B142,FIND("-",Plan1!B142)+1,200)),TRIM(Plan1!B142)),TRIM(Plan1!B142))</f>
        <v/>
      </c>
      <c r="B171">
        <f>IF(A171="","",MAX(1,N(Plan1!C142)+N(Plan1!D142)))</f>
        <v/>
      </c>
      <c r="D171">
        <f>IF(A171="","",TRIM(Plan1!$B$131))</f>
        <v/>
      </c>
    </row>
    <row r="172">
      <c r="A172">
        <f>IFERROR(IF(ISNUMBER(VALUE(LEFT(Plan1!F133,FIND("-",Plan1!F133)-1))),TRIM(MID(Plan1!F133,FIND("-",Plan1!F133)+1,200)),TRIM(Plan1!F133)),TRIM(Plan1!F133))</f>
        <v/>
      </c>
      <c r="B172">
        <f>IF(A172="","",MAX(1,N(Plan1!G133)+N(Plan1!H133)))</f>
        <v/>
      </c>
      <c r="D172">
        <f>IF(A172="","",TRIM(Plan1!$F$131))</f>
        <v/>
      </c>
    </row>
    <row r="173">
      <c r="A173">
        <f>IFERROR(IF(ISNUMBER(VALUE(LEFT(Plan1!F134,FIND("-",Plan1!F134)-1))),TRIM(MID(Plan1!F134,FIND("-",Plan1!F134)+1,200)),TRIM(Plan1!F134)),TRIM(Plan1!F134))</f>
        <v/>
      </c>
      <c r="B173">
        <f>IF(A173="","",MAX(1,N(Plan1!G134)+N(Plan1!H134)))</f>
        <v/>
      </c>
      <c r="D173">
        <f>IF(A173="","",TRIM(Plan1!$F$131))</f>
        <v/>
      </c>
    </row>
    <row r="174">
      <c r="A174">
        <f>IFERROR(IF(ISNUMBER(VALUE(LEFT(Plan1!F135,FIND("-",Plan1!F135)-1))),TRIM(MID(Plan1!F135,FIND("-",Plan1!F135)+1,200)),TRIM(Plan1!F135)),TRIM(Plan1!F135))</f>
        <v/>
      </c>
      <c r="B174">
        <f>IF(A174="","",MAX(1,N(Plan1!G135)+N(Plan1!H135)))</f>
        <v/>
      </c>
      <c r="D174">
        <f>IF(A174="","",TRIM(Plan1!$F$131))</f>
        <v/>
      </c>
    </row>
    <row r="175">
      <c r="A175">
        <f>IFERROR(IF(ISNUMBER(VALUE(LEFT(Plan1!F136,FIND("-",Plan1!F136)-1))),TRIM(MID(Plan1!F136,FIND("-",Plan1!F136)+1,200)),TRIM(Plan1!F136)),TRIM(Plan1!F136))</f>
        <v/>
      </c>
      <c r="B175">
        <f>IF(A175="","",MAX(1,N(Plan1!G136)+N(Plan1!H136)))</f>
        <v/>
      </c>
      <c r="D175">
        <f>IF(A175="","",TRIM(Plan1!$F$131))</f>
        <v/>
      </c>
    </row>
    <row r="176">
      <c r="A176">
        <f>IFERROR(IF(ISNUMBER(VALUE(LEFT(Plan1!F137,FIND("-",Plan1!F137)-1))),TRIM(MID(Plan1!F137,FIND("-",Plan1!F137)+1,200)),TRIM(Plan1!F137)),TRIM(Plan1!F137))</f>
        <v/>
      </c>
      <c r="B176">
        <f>IF(A176="","",MAX(1,N(Plan1!G137)+N(Plan1!H137)))</f>
        <v/>
      </c>
      <c r="D176">
        <f>IF(A176="","",TRIM(Plan1!$F$131))</f>
        <v/>
      </c>
    </row>
    <row r="177">
      <c r="A177">
        <f>IFERROR(IF(ISNUMBER(VALUE(LEFT(Plan1!F138,FIND("-",Plan1!F138)-1))),TRIM(MID(Plan1!F138,FIND("-",Plan1!F138)+1,200)),TRIM(Plan1!F138)),TRIM(Plan1!F138))</f>
        <v/>
      </c>
      <c r="B177">
        <f>IF(A177="","",MAX(1,N(Plan1!G138)+N(Plan1!H138)))</f>
        <v/>
      </c>
      <c r="D177">
        <f>IF(A177="","",TRIM(Plan1!$F$131))</f>
        <v/>
      </c>
    </row>
    <row r="178">
      <c r="A178">
        <f>IFERROR(IF(ISNUMBER(VALUE(LEFT(Plan1!F139,FIND("-",Plan1!F139)-1))),TRIM(MID(Plan1!F139,FIND("-",Plan1!F139)+1,200)),TRIM(Plan1!F139)),TRIM(Plan1!F139))</f>
        <v/>
      </c>
      <c r="B178">
        <f>IF(A178="","",MAX(1,N(Plan1!G139)+N(Plan1!H139)))</f>
        <v/>
      </c>
      <c r="D178">
        <f>IF(A178="","",TRIM(Plan1!$F$131))</f>
        <v/>
      </c>
    </row>
    <row r="179">
      <c r="A179">
        <f>IFERROR(IF(ISNUMBER(VALUE(LEFT(Plan1!F140,FIND("-",Plan1!F140)-1))),TRIM(MID(Plan1!F140,FIND("-",Plan1!F140)+1,200)),TRIM(Plan1!F140)),TRIM(Plan1!F140))</f>
        <v/>
      </c>
      <c r="B179">
        <f>IF(A179="","",MAX(1,N(Plan1!G140)+N(Plan1!H140)))</f>
        <v/>
      </c>
      <c r="D179">
        <f>IF(A179="","",TRIM(Plan1!$F$131))</f>
        <v/>
      </c>
    </row>
    <row r="180">
      <c r="A180">
        <f>IFERROR(IF(ISNUMBER(VALUE(LEFT(Plan1!F141,FIND("-",Plan1!F141)-1))),TRIM(MID(Plan1!F141,FIND("-",Plan1!F141)+1,200)),TRIM(Plan1!F141)),TRIM(Plan1!F141))</f>
        <v/>
      </c>
      <c r="B180">
        <f>IF(A180="","",MAX(1,N(Plan1!G141)+N(Plan1!H141)))</f>
        <v/>
      </c>
      <c r="D180">
        <f>IF(A180="","",TRIM(Plan1!$F$131))</f>
        <v/>
      </c>
    </row>
    <row r="181">
      <c r="A181">
        <f>IFERROR(IF(ISNUMBER(VALUE(LEFT(Plan1!F142,FIND("-",Plan1!F142)-1))),TRIM(MID(Plan1!F142,FIND("-",Plan1!F142)+1,200)),TRIM(Plan1!F142)),TRIM(Plan1!F142))</f>
        <v/>
      </c>
      <c r="B181">
        <f>IF(A181="","",MAX(1,N(Plan1!G142)+N(Plan1!H142)))</f>
        <v/>
      </c>
      <c r="D181">
        <f>IF(A181="","",TRIM(Plan1!$F$131))</f>
        <v/>
      </c>
    </row>
    <row r="182">
      <c r="A182">
        <f>IFERROR(IF(ISNUMBER(VALUE(LEFT(Plan1!B149,FIND("-",Plan1!B149)-1))),TRIM(MID(Plan1!B149,FIND("-",Plan1!B149)+1,200)),TRIM(Plan1!B149)),TRIM(Plan1!B149))</f>
        <v/>
      </c>
      <c r="B182">
        <f>IF(A182="","",MAX(1,N(Plan1!C149)+N(Plan1!D149)))</f>
        <v/>
      </c>
      <c r="D182">
        <f>IF(A182="","",TRIM(Plan1!$B$147))</f>
        <v/>
      </c>
    </row>
    <row r="183">
      <c r="A183">
        <f>IFERROR(IF(ISNUMBER(VALUE(LEFT(Plan1!B150,FIND("-",Plan1!B150)-1))),TRIM(MID(Plan1!B150,FIND("-",Plan1!B150)+1,200)),TRIM(Plan1!B150)),TRIM(Plan1!B150))</f>
        <v/>
      </c>
      <c r="B183">
        <f>IF(A183="","",MAX(1,N(Plan1!C150)+N(Plan1!D150)))</f>
        <v/>
      </c>
      <c r="D183">
        <f>IF(A183="","",TRIM(Plan1!$B$147))</f>
        <v/>
      </c>
    </row>
    <row r="184">
      <c r="A184">
        <f>IFERROR(IF(ISNUMBER(VALUE(LEFT(Plan1!B151,FIND("-",Plan1!B151)-1))),TRIM(MID(Plan1!B151,FIND("-",Plan1!B151)+1,200)),TRIM(Plan1!B151)),TRIM(Plan1!B151))</f>
        <v/>
      </c>
      <c r="B184">
        <f>IF(A184="","",MAX(1,N(Plan1!C151)+N(Plan1!D151)))</f>
        <v/>
      </c>
      <c r="D184">
        <f>IF(A184="","",TRIM(Plan1!$B$147))</f>
        <v/>
      </c>
    </row>
    <row r="185">
      <c r="A185">
        <f>IFERROR(IF(ISNUMBER(VALUE(LEFT(Plan1!B152,FIND("-",Plan1!B152)-1))),TRIM(MID(Plan1!B152,FIND("-",Plan1!B152)+1,200)),TRIM(Plan1!B152)),TRIM(Plan1!B152))</f>
        <v/>
      </c>
      <c r="B185">
        <f>IF(A185="","",MAX(1,N(Plan1!C152)+N(Plan1!D152)))</f>
        <v/>
      </c>
      <c r="D185">
        <f>IF(A185="","",TRIM(Plan1!$B$147))</f>
        <v/>
      </c>
    </row>
    <row r="186">
      <c r="A186">
        <f>IFERROR(IF(ISNUMBER(VALUE(LEFT(Plan1!B153,FIND("-",Plan1!B153)-1))),TRIM(MID(Plan1!B153,FIND("-",Plan1!B153)+1,200)),TRIM(Plan1!B153)),TRIM(Plan1!B153))</f>
        <v/>
      </c>
      <c r="B186">
        <f>IF(A186="","",MAX(1,N(Plan1!C153)+N(Plan1!D153)))</f>
        <v/>
      </c>
      <c r="D186">
        <f>IF(A186="","",TRIM(Plan1!$B$147))</f>
        <v/>
      </c>
    </row>
    <row r="187">
      <c r="A187">
        <f>IFERROR(IF(ISNUMBER(VALUE(LEFT(Plan1!B154,FIND("-",Plan1!B154)-1))),TRIM(MID(Plan1!B154,FIND("-",Plan1!B154)+1,200)),TRIM(Plan1!B154)),TRIM(Plan1!B154))</f>
        <v/>
      </c>
      <c r="B187">
        <f>IF(A187="","",MAX(1,N(Plan1!C154)+N(Plan1!D154)))</f>
        <v/>
      </c>
      <c r="D187">
        <f>IF(A187="","",TRIM(Plan1!$B$147))</f>
        <v/>
      </c>
    </row>
    <row r="188">
      <c r="A188">
        <f>IFERROR(IF(ISNUMBER(VALUE(LEFT(Plan1!B155,FIND("-",Plan1!B155)-1))),TRIM(MID(Plan1!B155,FIND("-",Plan1!B155)+1,200)),TRIM(Plan1!B155)),TRIM(Plan1!B155))</f>
        <v/>
      </c>
      <c r="B188">
        <f>IF(A188="","",MAX(1,N(Plan1!C155)+N(Plan1!D155)))</f>
        <v/>
      </c>
      <c r="D188">
        <f>IF(A188="","",TRIM(Plan1!$B$147))</f>
        <v/>
      </c>
    </row>
    <row r="189">
      <c r="A189">
        <f>IFERROR(IF(ISNUMBER(VALUE(LEFT(Plan1!B156,FIND("-",Plan1!B156)-1))),TRIM(MID(Plan1!B156,FIND("-",Plan1!B156)+1,200)),TRIM(Plan1!B156)),TRIM(Plan1!B156))</f>
        <v/>
      </c>
      <c r="B189">
        <f>IF(A189="","",MAX(1,N(Plan1!C156)+N(Plan1!D156)))</f>
        <v/>
      </c>
      <c r="D189">
        <f>IF(A189="","",TRIM(Plan1!$B$147))</f>
        <v/>
      </c>
    </row>
    <row r="190">
      <c r="A190">
        <f>IFERROR(IF(ISNUMBER(VALUE(LEFT(Plan1!B157,FIND("-",Plan1!B157)-1))),TRIM(MID(Plan1!B157,FIND("-",Plan1!B157)+1,200)),TRIM(Plan1!B157)),TRIM(Plan1!B157))</f>
        <v/>
      </c>
      <c r="B190">
        <f>IF(A190="","",MAX(1,N(Plan1!C157)+N(Plan1!D157)))</f>
        <v/>
      </c>
      <c r="D190">
        <f>IF(A190="","",TRIM(Plan1!$B$147))</f>
        <v/>
      </c>
    </row>
    <row r="191">
      <c r="A191">
        <f>IFERROR(IF(ISNUMBER(VALUE(LEFT(Plan1!B158,FIND("-",Plan1!B158)-1))),TRIM(MID(Plan1!B158,FIND("-",Plan1!B158)+1,200)),TRIM(Plan1!B158)),TRIM(Plan1!B158))</f>
        <v/>
      </c>
      <c r="B191">
        <f>IF(A191="","",MAX(1,N(Plan1!C158)+N(Plan1!D158)))</f>
        <v/>
      </c>
      <c r="D191">
        <f>IF(A191="","",TRIM(Plan1!$B$147))</f>
        <v/>
      </c>
    </row>
    <row r="192">
      <c r="A192">
        <f>IFERROR(IF(ISNUMBER(VALUE(LEFT(Plan1!F149,FIND("-",Plan1!F149)-1))),TRIM(MID(Plan1!F149,FIND("-",Plan1!F149)+1,200)),TRIM(Plan1!F149)),TRIM(Plan1!F149))</f>
        <v/>
      </c>
      <c r="B192">
        <f>IF(A192="","",MAX(1,N(Plan1!G149)+N(Plan1!H149)))</f>
        <v/>
      </c>
      <c r="D192">
        <f>IF(A192="","",TRIM(Plan1!$F$147))</f>
        <v/>
      </c>
    </row>
    <row r="193">
      <c r="A193">
        <f>IFERROR(IF(ISNUMBER(VALUE(LEFT(Plan1!F150,FIND("-",Plan1!F150)-1))),TRIM(MID(Plan1!F150,FIND("-",Plan1!F150)+1,200)),TRIM(Plan1!F150)),TRIM(Plan1!F150))</f>
        <v/>
      </c>
      <c r="B193">
        <f>IF(A193="","",MAX(1,N(Plan1!G150)+N(Plan1!H150)))</f>
        <v/>
      </c>
      <c r="D193">
        <f>IF(A193="","",TRIM(Plan1!$F$147))</f>
        <v/>
      </c>
    </row>
    <row r="194">
      <c r="A194">
        <f>IFERROR(IF(ISNUMBER(VALUE(LEFT(Plan1!F151,FIND("-",Plan1!F151)-1))),TRIM(MID(Plan1!F151,FIND("-",Plan1!F151)+1,200)),TRIM(Plan1!F151)),TRIM(Plan1!F151))</f>
        <v/>
      </c>
      <c r="B194">
        <f>IF(A194="","",MAX(1,N(Plan1!G151)+N(Plan1!H151)))</f>
        <v/>
      </c>
      <c r="D194">
        <f>IF(A194="","",TRIM(Plan1!$F$147))</f>
        <v/>
      </c>
    </row>
    <row r="195">
      <c r="A195">
        <f>IFERROR(IF(ISNUMBER(VALUE(LEFT(Plan1!F152,FIND("-",Plan1!F152)-1))),TRIM(MID(Plan1!F152,FIND("-",Plan1!F152)+1,200)),TRIM(Plan1!F152)),TRIM(Plan1!F152))</f>
        <v/>
      </c>
      <c r="B195">
        <f>IF(A195="","",MAX(1,N(Plan1!G152)+N(Plan1!H152)))</f>
        <v/>
      </c>
      <c r="D195">
        <f>IF(A195="","",TRIM(Plan1!$F$147))</f>
        <v/>
      </c>
    </row>
    <row r="196">
      <c r="A196">
        <f>IFERROR(IF(ISNUMBER(VALUE(LEFT(Plan1!F153,FIND("-",Plan1!F153)-1))),TRIM(MID(Plan1!F153,FIND("-",Plan1!F153)+1,200)),TRIM(Plan1!F153)),TRIM(Plan1!F153))</f>
        <v/>
      </c>
      <c r="B196">
        <f>IF(A196="","",MAX(1,N(Plan1!G153)+N(Plan1!H153)))</f>
        <v/>
      </c>
      <c r="D196">
        <f>IF(A196="","",TRIM(Plan1!$F$147))</f>
        <v/>
      </c>
    </row>
    <row r="197">
      <c r="A197">
        <f>IFERROR(IF(ISNUMBER(VALUE(LEFT(Plan1!F154,FIND("-",Plan1!F154)-1))),TRIM(MID(Plan1!F154,FIND("-",Plan1!F154)+1,200)),TRIM(Plan1!F154)),TRIM(Plan1!F154))</f>
        <v/>
      </c>
      <c r="B197">
        <f>IF(A197="","",MAX(1,N(Plan1!G154)+N(Plan1!H154)))</f>
        <v/>
      </c>
      <c r="D197">
        <f>IF(A197="","",TRIM(Plan1!$F$147))</f>
        <v/>
      </c>
    </row>
    <row r="198">
      <c r="A198">
        <f>IFERROR(IF(ISNUMBER(VALUE(LEFT(Plan1!F155,FIND("-",Plan1!F155)-1))),TRIM(MID(Plan1!F155,FIND("-",Plan1!F155)+1,200)),TRIM(Plan1!F155)),TRIM(Plan1!F155))</f>
        <v/>
      </c>
      <c r="B198">
        <f>IF(A198="","",MAX(1,N(Plan1!G155)+N(Plan1!H155)))</f>
        <v/>
      </c>
      <c r="D198">
        <f>IF(A198="","",TRIM(Plan1!$F$147))</f>
        <v/>
      </c>
    </row>
    <row r="199">
      <c r="A199">
        <f>IFERROR(IF(ISNUMBER(VALUE(LEFT(Plan1!F156,FIND("-",Plan1!F156)-1))),TRIM(MID(Plan1!F156,FIND("-",Plan1!F156)+1,200)),TRIM(Plan1!F156)),TRIM(Plan1!F156))</f>
        <v/>
      </c>
      <c r="B199">
        <f>IF(A199="","",MAX(1,N(Plan1!G156)+N(Plan1!H156)))</f>
        <v/>
      </c>
      <c r="D199">
        <f>IF(A199="","",TRIM(Plan1!$F$147))</f>
        <v/>
      </c>
    </row>
    <row r="200">
      <c r="A200">
        <f>IFERROR(IF(ISNUMBER(VALUE(LEFT(Plan1!F157,FIND("-",Plan1!F157)-1))),TRIM(MID(Plan1!F157,FIND("-",Plan1!F157)+1,200)),TRIM(Plan1!F157)),TRIM(Plan1!F157))</f>
        <v/>
      </c>
      <c r="B200">
        <f>IF(A200="","",MAX(1,N(Plan1!G157)+N(Plan1!H157)))</f>
        <v/>
      </c>
      <c r="D200">
        <f>IF(A200="","",TRIM(Plan1!$F$147))</f>
        <v/>
      </c>
    </row>
    <row r="201">
      <c r="A201">
        <f>IFERROR(IF(ISNUMBER(VALUE(LEFT(Plan1!F158,FIND("-",Plan1!F158)-1))),TRIM(MID(Plan1!F158,FIND("-",Plan1!F158)+1,200)),TRIM(Plan1!F158)),TRIM(Plan1!F158))</f>
        <v/>
      </c>
      <c r="B201">
        <f>IF(A201="","",MAX(1,N(Plan1!G158)+N(Plan1!H158)))</f>
        <v/>
      </c>
      <c r="D201">
        <f>IF(A201="","",TRIM(Plan1!$F$147))</f>
        <v/>
      </c>
    </row>
    <row r="202">
      <c r="A202">
        <f>IFERROR(IF(ISNUMBER(VALUE(LEFT(Plan1!B165,FIND("-",Plan1!B165)-1))),TRIM(MID(Plan1!B165,FIND("-",Plan1!B165)+1,200)),TRIM(Plan1!B165)),TRIM(Plan1!B165))</f>
        <v/>
      </c>
      <c r="B202">
        <f>IF(A202="","",MAX(1,N(Plan1!C165)+N(Plan1!D165)))</f>
        <v/>
      </c>
      <c r="D202">
        <f>IF(A202="","",TRIM(Plan1!$B$163))</f>
        <v/>
      </c>
    </row>
    <row r="203">
      <c r="A203">
        <f>IFERROR(IF(ISNUMBER(VALUE(LEFT(Plan1!B166,FIND("-",Plan1!B166)-1))),TRIM(MID(Plan1!B166,FIND("-",Plan1!B166)+1,200)),TRIM(Plan1!B166)),TRIM(Plan1!B166))</f>
        <v/>
      </c>
      <c r="B203">
        <f>IF(A203="","",MAX(1,N(Plan1!C166)+N(Plan1!D166)))</f>
        <v/>
      </c>
      <c r="D203">
        <f>IF(A203="","",TRIM(Plan1!$B$163))</f>
        <v/>
      </c>
    </row>
    <row r="204">
      <c r="A204">
        <f>IFERROR(IF(ISNUMBER(VALUE(LEFT(Plan1!B167,FIND("-",Plan1!B167)-1))),TRIM(MID(Plan1!B167,FIND("-",Plan1!B167)+1,200)),TRIM(Plan1!B167)),TRIM(Plan1!B167))</f>
        <v/>
      </c>
      <c r="B204">
        <f>IF(A204="","",MAX(1,N(Plan1!C167)+N(Plan1!D167)))</f>
        <v/>
      </c>
      <c r="D204">
        <f>IF(A204="","",TRIM(Plan1!$B$163))</f>
        <v/>
      </c>
    </row>
    <row r="205">
      <c r="A205">
        <f>IFERROR(IF(ISNUMBER(VALUE(LEFT(Plan1!B168,FIND("-",Plan1!B168)-1))),TRIM(MID(Plan1!B168,FIND("-",Plan1!B168)+1,200)),TRIM(Plan1!B168)),TRIM(Plan1!B168))</f>
        <v/>
      </c>
      <c r="B205">
        <f>IF(A205="","",MAX(1,N(Plan1!C168)+N(Plan1!D168)))</f>
        <v/>
      </c>
      <c r="D205">
        <f>IF(A205="","",TRIM(Plan1!$B$163))</f>
        <v/>
      </c>
    </row>
    <row r="206">
      <c r="A206">
        <f>IFERROR(IF(ISNUMBER(VALUE(LEFT(Plan1!B169,FIND("-",Plan1!B169)-1))),TRIM(MID(Plan1!B169,FIND("-",Plan1!B169)+1,200)),TRIM(Plan1!B169)),TRIM(Plan1!B169))</f>
        <v/>
      </c>
      <c r="B206">
        <f>IF(A206="","",MAX(1,N(Plan1!C169)+N(Plan1!D169)))</f>
        <v/>
      </c>
      <c r="D206">
        <f>IF(A206="","",TRIM(Plan1!$B$163))</f>
        <v/>
      </c>
    </row>
    <row r="207">
      <c r="A207">
        <f>IFERROR(IF(ISNUMBER(VALUE(LEFT(Plan1!B170,FIND("-",Plan1!B170)-1))),TRIM(MID(Plan1!B170,FIND("-",Plan1!B170)+1,200)),TRIM(Plan1!B170)),TRIM(Plan1!B170))</f>
        <v/>
      </c>
      <c r="B207">
        <f>IF(A207="","",MAX(1,N(Plan1!C170)+N(Plan1!D170)))</f>
        <v/>
      </c>
      <c r="D207">
        <f>IF(A207="","",TRIM(Plan1!$B$163))</f>
        <v/>
      </c>
    </row>
    <row r="208">
      <c r="A208">
        <f>IFERROR(IF(ISNUMBER(VALUE(LEFT(Plan1!B171,FIND("-",Plan1!B171)-1))),TRIM(MID(Plan1!B171,FIND("-",Plan1!B171)+1,200)),TRIM(Plan1!B171)),TRIM(Plan1!B171))</f>
        <v/>
      </c>
      <c r="B208">
        <f>IF(A208="","",MAX(1,N(Plan1!C171)+N(Plan1!D171)))</f>
        <v/>
      </c>
      <c r="D208">
        <f>IF(A208="","",TRIM(Plan1!$B$163))</f>
        <v/>
      </c>
    </row>
    <row r="209">
      <c r="A209">
        <f>IFERROR(IF(ISNUMBER(VALUE(LEFT(Plan1!B172,FIND("-",Plan1!B172)-1))),TRIM(MID(Plan1!B172,FIND("-",Plan1!B172)+1,200)),TRIM(Plan1!B172)),TRIM(Plan1!B172))</f>
        <v/>
      </c>
      <c r="B209">
        <f>IF(A209="","",MAX(1,N(Plan1!C172)+N(Plan1!D172)))</f>
        <v/>
      </c>
      <c r="D209">
        <f>IF(A209="","",TRIM(Plan1!$B$163))</f>
        <v/>
      </c>
    </row>
    <row r="210">
      <c r="A210">
        <f>IFERROR(IF(ISNUMBER(VALUE(LEFT(Plan1!B173,FIND("-",Plan1!B173)-1))),TRIM(MID(Plan1!B173,FIND("-",Plan1!B173)+1,200)),TRIM(Plan1!B173)),TRIM(Plan1!B173))</f>
        <v/>
      </c>
      <c r="B210">
        <f>IF(A210="","",MAX(1,N(Plan1!C173)+N(Plan1!D173)))</f>
        <v/>
      </c>
      <c r="D210">
        <f>IF(A210="","",TRIM(Plan1!$B$163))</f>
        <v/>
      </c>
    </row>
    <row r="211">
      <c r="A211">
        <f>IFERROR(IF(ISNUMBER(VALUE(LEFT(Plan1!B174,FIND("-",Plan1!B174)-1))),TRIM(MID(Plan1!B174,FIND("-",Plan1!B174)+1,200)),TRIM(Plan1!B174)),TRIM(Plan1!B174))</f>
        <v/>
      </c>
      <c r="B211">
        <f>IF(A211="","",MAX(1,N(Plan1!C174)+N(Plan1!D174)))</f>
        <v/>
      </c>
      <c r="D211">
        <f>IF(A211="","",TRIM(Plan1!$B$163))</f>
        <v/>
      </c>
    </row>
    <row r="212">
      <c r="A212">
        <f>IFERROR(IF(ISNUMBER(VALUE(LEFT(Plan1!F165,FIND("-",Plan1!F165)-1))),TRIM(MID(Plan1!F165,FIND("-",Plan1!F165)+1,200)),TRIM(Plan1!F165)),TRIM(Plan1!F165))</f>
        <v/>
      </c>
      <c r="B212">
        <f>IF(A212="","",MAX(1,N(Plan1!G165)+N(Plan1!H165)))</f>
        <v/>
      </c>
      <c r="D212">
        <f>IF(A212="","",TRIM(Plan1!$F$163))</f>
        <v/>
      </c>
    </row>
    <row r="213">
      <c r="A213">
        <f>IFERROR(IF(ISNUMBER(VALUE(LEFT(Plan1!F166,FIND("-",Plan1!F166)-1))),TRIM(MID(Plan1!F166,FIND("-",Plan1!F166)+1,200)),TRIM(Plan1!F166)),TRIM(Plan1!F166))</f>
        <v/>
      </c>
      <c r="B213">
        <f>IF(A213="","",MAX(1,N(Plan1!G166)+N(Plan1!H166)))</f>
        <v/>
      </c>
      <c r="D213">
        <f>IF(A213="","",TRIM(Plan1!$F$163))</f>
        <v/>
      </c>
    </row>
    <row r="214">
      <c r="A214">
        <f>IFERROR(IF(ISNUMBER(VALUE(LEFT(Plan1!F167,FIND("-",Plan1!F167)-1))),TRIM(MID(Plan1!F167,FIND("-",Plan1!F167)+1,200)),TRIM(Plan1!F167)),TRIM(Plan1!F167))</f>
        <v/>
      </c>
      <c r="B214">
        <f>IF(A214="","",MAX(1,N(Plan1!G167)+N(Plan1!H167)))</f>
        <v/>
      </c>
      <c r="D214">
        <f>IF(A214="","",TRIM(Plan1!$F$163))</f>
        <v/>
      </c>
    </row>
    <row r="215">
      <c r="A215">
        <f>IFERROR(IF(ISNUMBER(VALUE(LEFT(Plan1!F168,FIND("-",Plan1!F168)-1))),TRIM(MID(Plan1!F168,FIND("-",Plan1!F168)+1,200)),TRIM(Plan1!F168)),TRIM(Plan1!F168))</f>
        <v/>
      </c>
      <c r="B215">
        <f>IF(A215="","",MAX(1,N(Plan1!G168)+N(Plan1!H168)))</f>
        <v/>
      </c>
      <c r="D215">
        <f>IF(A215="","",TRIM(Plan1!$F$163))</f>
        <v/>
      </c>
    </row>
    <row r="216">
      <c r="A216">
        <f>IFERROR(IF(ISNUMBER(VALUE(LEFT(Plan1!F169,FIND("-",Plan1!F169)-1))),TRIM(MID(Plan1!F169,FIND("-",Plan1!F169)+1,200)),TRIM(Plan1!F169)),TRIM(Plan1!F169))</f>
        <v/>
      </c>
      <c r="B216">
        <f>IF(A216="","",MAX(1,N(Plan1!G169)+N(Plan1!H169)))</f>
        <v/>
      </c>
      <c r="D216">
        <f>IF(A216="","",TRIM(Plan1!$F$163))</f>
        <v/>
      </c>
    </row>
    <row r="217">
      <c r="A217">
        <f>IFERROR(IF(ISNUMBER(VALUE(LEFT(Plan1!F170,FIND("-",Plan1!F170)-1))),TRIM(MID(Plan1!F170,FIND("-",Plan1!F170)+1,200)),TRIM(Plan1!F170)),TRIM(Plan1!F170))</f>
        <v/>
      </c>
      <c r="B217">
        <f>IF(A217="","",MAX(1,N(Plan1!G170)+N(Plan1!H170)))</f>
        <v/>
      </c>
      <c r="D217">
        <f>IF(A217="","",TRIM(Plan1!$F$163))</f>
        <v/>
      </c>
    </row>
    <row r="218">
      <c r="A218">
        <f>IFERROR(IF(ISNUMBER(VALUE(LEFT(Plan1!F171,FIND("-",Plan1!F171)-1))),TRIM(MID(Plan1!F171,FIND("-",Plan1!F171)+1,200)),TRIM(Plan1!F171)),TRIM(Plan1!F171))</f>
        <v/>
      </c>
      <c r="B218">
        <f>IF(A218="","",MAX(1,N(Plan1!G171)+N(Plan1!H171)))</f>
        <v/>
      </c>
      <c r="D218">
        <f>IF(A218="","",TRIM(Plan1!$F$163))</f>
        <v/>
      </c>
    </row>
    <row r="219">
      <c r="A219">
        <f>IFERROR(IF(ISNUMBER(VALUE(LEFT(Plan1!F172,FIND("-",Plan1!F172)-1))),TRIM(MID(Plan1!F172,FIND("-",Plan1!F172)+1,200)),TRIM(Plan1!F172)),TRIM(Plan1!F172))</f>
        <v/>
      </c>
      <c r="B219">
        <f>IF(A219="","",MAX(1,N(Plan1!G172)+N(Plan1!H172)))</f>
        <v/>
      </c>
      <c r="D219">
        <f>IF(A219="","",TRIM(Plan1!$F$163))</f>
        <v/>
      </c>
    </row>
    <row r="220">
      <c r="A220">
        <f>IFERROR(IF(ISNUMBER(VALUE(LEFT(Plan1!F173,FIND("-",Plan1!F173)-1))),TRIM(MID(Plan1!F173,FIND("-",Plan1!F173)+1,200)),TRIM(Plan1!F173)),TRIM(Plan1!F173))</f>
        <v/>
      </c>
      <c r="B220">
        <f>IF(A220="","",MAX(1,N(Plan1!G173)+N(Plan1!H173)))</f>
        <v/>
      </c>
      <c r="D220">
        <f>IF(A220="","",TRIM(Plan1!$F$163))</f>
        <v/>
      </c>
    </row>
    <row r="221">
      <c r="A221">
        <f>IFERROR(IF(ISNUMBER(VALUE(LEFT(Plan1!F174,FIND("-",Plan1!F174)-1))),TRIM(MID(Plan1!F174,FIND("-",Plan1!F174)+1,200)),TRIM(Plan1!F174)),TRIM(Plan1!F174))</f>
        <v/>
      </c>
      <c r="B221">
        <f>IF(A221="","",MAX(1,N(Plan1!G174)+N(Plan1!H174)))</f>
        <v/>
      </c>
      <c r="D221">
        <f>IF(A221="","",TRIM(Plan1!$F$163))</f>
        <v/>
      </c>
    </row>
    <row r="222">
      <c r="A222">
        <f>IFERROR(IF(ISNUMBER(VALUE(LEFT(Plan1!B181,FIND("-",Plan1!B181)-1))),TRIM(MID(Plan1!B181,FIND("-",Plan1!B181)+1,200)),TRIM(Plan1!B181)),TRIM(Plan1!B181))</f>
        <v/>
      </c>
      <c r="B222">
        <f>IF(A222="","",MAX(1,N(Plan1!C181)+N(Plan1!D181)))</f>
        <v/>
      </c>
      <c r="D222">
        <f>IF(A222="","",TRIM(Plan1!$B$179))</f>
        <v/>
      </c>
    </row>
    <row r="223">
      <c r="A223">
        <f>IFERROR(IF(ISNUMBER(VALUE(LEFT(Plan1!B182,FIND("-",Plan1!B182)-1))),TRIM(MID(Plan1!B182,FIND("-",Plan1!B182)+1,200)),TRIM(Plan1!B182)),TRIM(Plan1!B182))</f>
        <v/>
      </c>
      <c r="B223">
        <f>IF(A223="","",MAX(1,N(Plan1!C182)+N(Plan1!D182)))</f>
        <v/>
      </c>
      <c r="D223">
        <f>IF(A223="","",TRIM(Plan1!$B$179))</f>
        <v/>
      </c>
    </row>
    <row r="224">
      <c r="A224">
        <f>IFERROR(IF(ISNUMBER(VALUE(LEFT(Plan1!B183,FIND("-",Plan1!B183)-1))),TRIM(MID(Plan1!B183,FIND("-",Plan1!B183)+1,200)),TRIM(Plan1!B183)),TRIM(Plan1!B183))</f>
        <v/>
      </c>
      <c r="B224">
        <f>IF(A224="","",MAX(1,N(Plan1!C183)+N(Plan1!D183)))</f>
        <v/>
      </c>
      <c r="D224">
        <f>IF(A224="","",TRIM(Plan1!$B$179))</f>
        <v/>
      </c>
    </row>
    <row r="225">
      <c r="A225">
        <f>IFERROR(IF(ISNUMBER(VALUE(LEFT(Plan1!B184,FIND("-",Plan1!B184)-1))),TRIM(MID(Plan1!B184,FIND("-",Plan1!B184)+1,200)),TRIM(Plan1!B184)),TRIM(Plan1!B184))</f>
        <v/>
      </c>
      <c r="B225">
        <f>IF(A225="","",MAX(1,N(Plan1!C184)+N(Plan1!D184)))</f>
        <v/>
      </c>
      <c r="D225">
        <f>IF(A225="","",TRIM(Plan1!$B$179))</f>
        <v/>
      </c>
    </row>
    <row r="226">
      <c r="A226">
        <f>IFERROR(IF(ISNUMBER(VALUE(LEFT(Plan1!B185,FIND("-",Plan1!B185)-1))),TRIM(MID(Plan1!B185,FIND("-",Plan1!B185)+1,200)),TRIM(Plan1!B185)),TRIM(Plan1!B185))</f>
        <v/>
      </c>
      <c r="B226">
        <f>IF(A226="","",MAX(1,N(Plan1!C185)+N(Plan1!D185)))</f>
        <v/>
      </c>
      <c r="D226">
        <f>IF(A226="","",TRIM(Plan1!$B$179))</f>
        <v/>
      </c>
    </row>
    <row r="227">
      <c r="A227">
        <f>IFERROR(IF(ISNUMBER(VALUE(LEFT(Plan1!B186,FIND("-",Plan1!B186)-1))),TRIM(MID(Plan1!B186,FIND("-",Plan1!B186)+1,200)),TRIM(Plan1!B186)),TRIM(Plan1!B186))</f>
        <v/>
      </c>
      <c r="B227">
        <f>IF(A227="","",MAX(1,N(Plan1!C186)+N(Plan1!D186)))</f>
        <v/>
      </c>
      <c r="D227">
        <f>IF(A227="","",TRIM(Plan1!$B$179))</f>
        <v/>
      </c>
    </row>
    <row r="228">
      <c r="A228">
        <f>IFERROR(IF(ISNUMBER(VALUE(LEFT(Plan1!B187,FIND("-",Plan1!B187)-1))),TRIM(MID(Plan1!B187,FIND("-",Plan1!B187)+1,200)),TRIM(Plan1!B187)),TRIM(Plan1!B187))</f>
        <v/>
      </c>
      <c r="B228">
        <f>IF(A228="","",MAX(1,N(Plan1!C187)+N(Plan1!D187)))</f>
        <v/>
      </c>
      <c r="D228">
        <f>IF(A228="","",TRIM(Plan1!$B$179))</f>
        <v/>
      </c>
    </row>
    <row r="229">
      <c r="A229">
        <f>IFERROR(IF(ISNUMBER(VALUE(LEFT(Plan1!B188,FIND("-",Plan1!B188)-1))),TRIM(MID(Plan1!B188,FIND("-",Plan1!B188)+1,200)),TRIM(Plan1!B188)),TRIM(Plan1!B188))</f>
        <v/>
      </c>
      <c r="B229">
        <f>IF(A229="","",MAX(1,N(Plan1!C188)+N(Plan1!D188)))</f>
        <v/>
      </c>
      <c r="D229">
        <f>IF(A229="","",TRIM(Plan1!$B$179))</f>
        <v/>
      </c>
    </row>
    <row r="230">
      <c r="A230">
        <f>IFERROR(IF(ISNUMBER(VALUE(LEFT(Plan1!B189,FIND("-",Plan1!B189)-1))),TRIM(MID(Plan1!B189,FIND("-",Plan1!B189)+1,200)),TRIM(Plan1!B189)),TRIM(Plan1!B189))</f>
        <v/>
      </c>
      <c r="B230">
        <f>IF(A230="","",MAX(1,N(Plan1!C189)+N(Plan1!D189)))</f>
        <v/>
      </c>
      <c r="D230">
        <f>IF(A230="","",TRIM(Plan1!$B$179))</f>
        <v/>
      </c>
    </row>
    <row r="231">
      <c r="A231">
        <f>IFERROR(IF(ISNUMBER(VALUE(LEFT(Plan1!B190,FIND("-",Plan1!B190)-1))),TRIM(MID(Plan1!B190,FIND("-",Plan1!B190)+1,200)),TRIM(Plan1!B190)),TRIM(Plan1!B190))</f>
        <v/>
      </c>
      <c r="B231">
        <f>IF(A231="","",MAX(1,N(Plan1!C190)+N(Plan1!D190)))</f>
        <v/>
      </c>
      <c r="D231">
        <f>IF(A231="","",TRIM(Plan1!$B$179))</f>
        <v/>
      </c>
    </row>
    <row r="232">
      <c r="A232">
        <f>IFERROR(IF(ISNUMBER(VALUE(LEFT(Plan1!F181,FIND("-",Plan1!F181)-1))),TRIM(MID(Plan1!F181,FIND("-",Plan1!F181)+1,200)),TRIM(Plan1!F181)),TRIM(Plan1!F181))</f>
        <v/>
      </c>
      <c r="B232">
        <f>IF(A232="","",MAX(1,N(Plan1!G181)+N(Plan1!H181)))</f>
        <v/>
      </c>
      <c r="D232">
        <f>IF(A232="","",TRIM(Plan1!$F$179))</f>
        <v/>
      </c>
    </row>
    <row r="233">
      <c r="A233">
        <f>IFERROR(IF(ISNUMBER(VALUE(LEFT(Plan1!F182,FIND("-",Plan1!F182)-1))),TRIM(MID(Plan1!F182,FIND("-",Plan1!F182)+1,200)),TRIM(Plan1!F182)),TRIM(Plan1!F182))</f>
        <v/>
      </c>
      <c r="B233">
        <f>IF(A233="","",MAX(1,N(Plan1!G182)+N(Plan1!H182)))</f>
        <v/>
      </c>
      <c r="D233">
        <f>IF(A233="","",TRIM(Plan1!$F$179))</f>
        <v/>
      </c>
    </row>
    <row r="234">
      <c r="A234">
        <f>IFERROR(IF(ISNUMBER(VALUE(LEFT(Plan1!F183,FIND("-",Plan1!F183)-1))),TRIM(MID(Plan1!F183,FIND("-",Plan1!F183)+1,200)),TRIM(Plan1!F183)),TRIM(Plan1!F183))</f>
        <v/>
      </c>
      <c r="B234">
        <f>IF(A234="","",MAX(1,N(Plan1!G183)+N(Plan1!H183)))</f>
        <v/>
      </c>
      <c r="D234">
        <f>IF(A234="","",TRIM(Plan1!$F$179))</f>
        <v/>
      </c>
    </row>
    <row r="235">
      <c r="A235">
        <f>IFERROR(IF(ISNUMBER(VALUE(LEFT(Plan1!F184,FIND("-",Plan1!F184)-1))),TRIM(MID(Plan1!F184,FIND("-",Plan1!F184)+1,200)),TRIM(Plan1!F184)),TRIM(Plan1!F184))</f>
        <v/>
      </c>
      <c r="B235">
        <f>IF(A235="","",MAX(1,N(Plan1!G184)+N(Plan1!H184)))</f>
        <v/>
      </c>
      <c r="D235">
        <f>IF(A235="","",TRIM(Plan1!$F$179))</f>
        <v/>
      </c>
    </row>
    <row r="236">
      <c r="A236">
        <f>IFERROR(IF(ISNUMBER(VALUE(LEFT(Plan1!F185,FIND("-",Plan1!F185)-1))),TRIM(MID(Plan1!F185,FIND("-",Plan1!F185)+1,200)),TRIM(Plan1!F185)),TRIM(Plan1!F185))</f>
        <v/>
      </c>
      <c r="B236">
        <f>IF(A236="","",MAX(1,N(Plan1!G185)+N(Plan1!H185)))</f>
        <v/>
      </c>
      <c r="D236">
        <f>IF(A236="","",TRIM(Plan1!$F$179))</f>
        <v/>
      </c>
    </row>
    <row r="237">
      <c r="A237">
        <f>IFERROR(IF(ISNUMBER(VALUE(LEFT(Plan1!F186,FIND("-",Plan1!F186)-1))),TRIM(MID(Plan1!F186,FIND("-",Plan1!F186)+1,200)),TRIM(Plan1!F186)),TRIM(Plan1!F186))</f>
        <v/>
      </c>
      <c r="B237">
        <f>IF(A237="","",MAX(1,N(Plan1!G186)+N(Plan1!H186)))</f>
        <v/>
      </c>
      <c r="D237">
        <f>IF(A237="","",TRIM(Plan1!$F$179))</f>
        <v/>
      </c>
    </row>
    <row r="238">
      <c r="A238">
        <f>IFERROR(IF(ISNUMBER(VALUE(LEFT(Plan1!F187,FIND("-",Plan1!F187)-1))),TRIM(MID(Plan1!F187,FIND("-",Plan1!F187)+1,200)),TRIM(Plan1!F187)),TRIM(Plan1!F187))</f>
        <v/>
      </c>
      <c r="B238">
        <f>IF(A238="","",MAX(1,N(Plan1!G187)+N(Plan1!H187)))</f>
        <v/>
      </c>
      <c r="D238">
        <f>IF(A238="","",TRIM(Plan1!$F$179))</f>
        <v/>
      </c>
    </row>
    <row r="239">
      <c r="A239">
        <f>IFERROR(IF(ISNUMBER(VALUE(LEFT(Plan1!F188,FIND("-",Plan1!F188)-1))),TRIM(MID(Plan1!F188,FIND("-",Plan1!F188)+1,200)),TRIM(Plan1!F188)),TRIM(Plan1!F188))</f>
        <v/>
      </c>
      <c r="B239">
        <f>IF(A239="","",MAX(1,N(Plan1!G188)+N(Plan1!H188)))</f>
        <v/>
      </c>
      <c r="D239">
        <f>IF(A239="","",TRIM(Plan1!$F$179))</f>
        <v/>
      </c>
    </row>
    <row r="240">
      <c r="A240">
        <f>IFERROR(IF(ISNUMBER(VALUE(LEFT(Plan1!F189,FIND("-",Plan1!F189)-1))),TRIM(MID(Plan1!F189,FIND("-",Plan1!F189)+1,200)),TRIM(Plan1!F189)),TRIM(Plan1!F189))</f>
        <v/>
      </c>
      <c r="B240">
        <f>IF(A240="","",MAX(1,N(Plan1!G189)+N(Plan1!H189)))</f>
        <v/>
      </c>
      <c r="D240">
        <f>IF(A240="","",TRIM(Plan1!$F$179))</f>
        <v/>
      </c>
    </row>
    <row r="241">
      <c r="A241">
        <f>IFERROR(IF(ISNUMBER(VALUE(LEFT(Plan1!F190,FIND("-",Plan1!F190)-1))),TRIM(MID(Plan1!F190,FIND("-",Plan1!F190)+1,200)),TRIM(Plan1!F190)),TRIM(Plan1!F190))</f>
        <v/>
      </c>
      <c r="B241">
        <f>IF(A241="","",MAX(1,N(Plan1!G190)+N(Plan1!H190)))</f>
        <v/>
      </c>
      <c r="D241">
        <f>IF(A241="","",TRIM(Plan1!$F$179))</f>
        <v/>
      </c>
    </row>
    <row r="242">
      <c r="A242">
        <f>IFERROR(IF(ISNUMBER(VALUE(LEFT(Plan1!B197,FIND("-",Plan1!B197)-1))),TRIM(MID(Plan1!B197,FIND("-",Plan1!B197)+1,200)),TRIM(Plan1!B197)),TRIM(Plan1!B197))</f>
        <v/>
      </c>
      <c r="B242">
        <f>IF(A242="","",MAX(1,N(Plan1!C197)+N(Plan1!D197)))</f>
        <v/>
      </c>
      <c r="D242">
        <f>IF(A242="","",TRIM(Plan1!$B$195))</f>
        <v/>
      </c>
    </row>
    <row r="243">
      <c r="A243">
        <f>IFERROR(IF(ISNUMBER(VALUE(LEFT(Plan1!B198,FIND("-",Plan1!B198)-1))),TRIM(MID(Plan1!B198,FIND("-",Plan1!B198)+1,200)),TRIM(Plan1!B198)),TRIM(Plan1!B198))</f>
        <v/>
      </c>
      <c r="B243">
        <f>IF(A243="","",MAX(1,N(Plan1!C198)+N(Plan1!D198)))</f>
        <v/>
      </c>
      <c r="D243">
        <f>IF(A243="","",TRIM(Plan1!$B$195))</f>
        <v/>
      </c>
    </row>
    <row r="244">
      <c r="A244">
        <f>IFERROR(IF(ISNUMBER(VALUE(LEFT(Plan1!B199,FIND("-",Plan1!B199)-1))),TRIM(MID(Plan1!B199,FIND("-",Plan1!B199)+1,200)),TRIM(Plan1!B199)),TRIM(Plan1!B199))</f>
        <v/>
      </c>
      <c r="B244">
        <f>IF(A244="","",MAX(1,N(Plan1!C199)+N(Plan1!D199)))</f>
        <v/>
      </c>
      <c r="D244">
        <f>IF(A244="","",TRIM(Plan1!$B$195))</f>
        <v/>
      </c>
    </row>
    <row r="245">
      <c r="A245">
        <f>IFERROR(IF(ISNUMBER(VALUE(LEFT(Plan1!B200,FIND("-",Plan1!B200)-1))),TRIM(MID(Plan1!B200,FIND("-",Plan1!B200)+1,200)),TRIM(Plan1!B200)),TRIM(Plan1!B200))</f>
        <v/>
      </c>
      <c r="B245">
        <f>IF(A245="","",MAX(1,N(Plan1!C200)+N(Plan1!D200)))</f>
        <v/>
      </c>
      <c r="D245">
        <f>IF(A245="","",TRIM(Plan1!$B$195))</f>
        <v/>
      </c>
    </row>
    <row r="246">
      <c r="A246">
        <f>IFERROR(IF(ISNUMBER(VALUE(LEFT(Plan1!B201,FIND("-",Plan1!B201)-1))),TRIM(MID(Plan1!B201,FIND("-",Plan1!B201)+1,200)),TRIM(Plan1!B201)),TRIM(Plan1!B201))</f>
        <v/>
      </c>
      <c r="B246">
        <f>IF(A246="","",MAX(1,N(Plan1!C201)+N(Plan1!D201)))</f>
        <v/>
      </c>
      <c r="D246">
        <f>IF(A246="","",TRIM(Plan1!$B$195))</f>
        <v/>
      </c>
    </row>
    <row r="247">
      <c r="A247">
        <f>IFERROR(IF(ISNUMBER(VALUE(LEFT(Plan1!B202,FIND("-",Plan1!B202)-1))),TRIM(MID(Plan1!B202,FIND("-",Plan1!B202)+1,200)),TRIM(Plan1!B202)),TRIM(Plan1!B202))</f>
        <v/>
      </c>
      <c r="B247">
        <f>IF(A247="","",MAX(1,N(Plan1!C202)+N(Plan1!D202)))</f>
        <v/>
      </c>
      <c r="D247">
        <f>IF(A247="","",TRIM(Plan1!$B$195))</f>
        <v/>
      </c>
    </row>
    <row r="248">
      <c r="A248">
        <f>IFERROR(IF(ISNUMBER(VALUE(LEFT(Plan1!B203,FIND("-",Plan1!B203)-1))),TRIM(MID(Plan1!B203,FIND("-",Plan1!B203)+1,200)),TRIM(Plan1!B203)),TRIM(Plan1!B203))</f>
        <v/>
      </c>
      <c r="B248">
        <f>IF(A248="","",MAX(1,N(Plan1!C203)+N(Plan1!D203)))</f>
        <v/>
      </c>
      <c r="D248">
        <f>IF(A248="","",TRIM(Plan1!$B$195))</f>
        <v/>
      </c>
    </row>
    <row r="249">
      <c r="A249">
        <f>IFERROR(IF(ISNUMBER(VALUE(LEFT(Plan1!B204,FIND("-",Plan1!B204)-1))),TRIM(MID(Plan1!B204,FIND("-",Plan1!B204)+1,200)),TRIM(Plan1!B204)),TRIM(Plan1!B204))</f>
        <v/>
      </c>
      <c r="B249">
        <f>IF(A249="","",MAX(1,N(Plan1!C204)+N(Plan1!D204)))</f>
        <v/>
      </c>
      <c r="D249">
        <f>IF(A249="","",TRIM(Plan1!$B$195))</f>
        <v/>
      </c>
    </row>
    <row r="250">
      <c r="A250">
        <f>IFERROR(IF(ISNUMBER(VALUE(LEFT(Plan1!B205,FIND("-",Plan1!B205)-1))),TRIM(MID(Plan1!B205,FIND("-",Plan1!B205)+1,200)),TRIM(Plan1!B205)),TRIM(Plan1!B205))</f>
        <v/>
      </c>
      <c r="B250">
        <f>IF(A250="","",MAX(1,N(Plan1!C205)+N(Plan1!D205)))</f>
        <v/>
      </c>
      <c r="D250">
        <f>IF(A250="","",TRIM(Plan1!$B$195))</f>
        <v/>
      </c>
    </row>
    <row r="251">
      <c r="A251">
        <f>IFERROR(IF(ISNUMBER(VALUE(LEFT(Plan1!B206,FIND("-",Plan1!B206)-1))),TRIM(MID(Plan1!B206,FIND("-",Plan1!B206)+1,200)),TRIM(Plan1!B206)),TRIM(Plan1!B206))</f>
        <v/>
      </c>
      <c r="B251">
        <f>IF(A251="","",MAX(1,N(Plan1!C206)+N(Plan1!D206)))</f>
        <v/>
      </c>
      <c r="D251">
        <f>IF(A251="","",TRIM(Plan1!$B$195))</f>
        <v/>
      </c>
    </row>
    <row r="252">
      <c r="A252">
        <f>IFERROR(IF(ISNUMBER(VALUE(LEFT(Plan1!F197,FIND("-",Plan1!F197)-1))),TRIM(MID(Plan1!F197,FIND("-",Plan1!F197)+1,200)),TRIM(Plan1!F197)),TRIM(Plan1!F197))</f>
        <v/>
      </c>
      <c r="B252">
        <f>IF(A252="","",MAX(1,N(Plan1!G197)+N(Plan1!H197)))</f>
        <v/>
      </c>
      <c r="D252">
        <f>IF(A252="","",TRIM(Plan1!$F$195))</f>
        <v/>
      </c>
    </row>
    <row r="253">
      <c r="A253">
        <f>IFERROR(IF(ISNUMBER(VALUE(LEFT(Plan1!F198,FIND("-",Plan1!F198)-1))),TRIM(MID(Plan1!F198,FIND("-",Plan1!F198)+1,200)),TRIM(Plan1!F198)),TRIM(Plan1!F198))</f>
        <v/>
      </c>
      <c r="B253">
        <f>IF(A253="","",MAX(1,N(Plan1!G198)+N(Plan1!H198)))</f>
        <v/>
      </c>
      <c r="D253">
        <f>IF(A253="","",TRIM(Plan1!$F$195))</f>
        <v/>
      </c>
    </row>
    <row r="254">
      <c r="A254">
        <f>IFERROR(IF(ISNUMBER(VALUE(LEFT(Plan1!F199,FIND("-",Plan1!F199)-1))),TRIM(MID(Plan1!F199,FIND("-",Plan1!F199)+1,200)),TRIM(Plan1!F199)),TRIM(Plan1!F199))</f>
        <v/>
      </c>
      <c r="B254">
        <f>IF(A254="","",MAX(1,N(Plan1!G199)+N(Plan1!H199)))</f>
        <v/>
      </c>
      <c r="D254">
        <f>IF(A254="","",TRIM(Plan1!$F$195))</f>
        <v/>
      </c>
    </row>
    <row r="255">
      <c r="A255">
        <f>IFERROR(IF(ISNUMBER(VALUE(LEFT(Plan1!F200,FIND("-",Plan1!F200)-1))),TRIM(MID(Plan1!F200,FIND("-",Plan1!F200)+1,200)),TRIM(Plan1!F200)),TRIM(Plan1!F200))</f>
        <v/>
      </c>
      <c r="B255">
        <f>IF(A255="","",MAX(1,N(Plan1!G200)+N(Plan1!H200)))</f>
        <v/>
      </c>
      <c r="D255">
        <f>IF(A255="","",TRIM(Plan1!$F$195))</f>
        <v/>
      </c>
    </row>
    <row r="256">
      <c r="A256">
        <f>IFERROR(IF(ISNUMBER(VALUE(LEFT(Plan1!F201,FIND("-",Plan1!F201)-1))),TRIM(MID(Plan1!F201,FIND("-",Plan1!F201)+1,200)),TRIM(Plan1!F201)),TRIM(Plan1!F201))</f>
        <v/>
      </c>
      <c r="B256">
        <f>IF(A256="","",MAX(1,N(Plan1!G201)+N(Plan1!H201)))</f>
        <v/>
      </c>
      <c r="D256">
        <f>IF(A256="","",TRIM(Plan1!$F$195))</f>
        <v/>
      </c>
    </row>
    <row r="257">
      <c r="A257">
        <f>IFERROR(IF(ISNUMBER(VALUE(LEFT(Plan1!F202,FIND("-",Plan1!F202)-1))),TRIM(MID(Plan1!F202,FIND("-",Plan1!F202)+1,200)),TRIM(Plan1!F202)),TRIM(Plan1!F202))</f>
        <v/>
      </c>
      <c r="B257">
        <f>IF(A257="","",MAX(1,N(Plan1!G202)+N(Plan1!H202)))</f>
        <v/>
      </c>
      <c r="D257">
        <f>IF(A257="","",TRIM(Plan1!$F$195))</f>
        <v/>
      </c>
    </row>
    <row r="258">
      <c r="A258">
        <f>IFERROR(IF(ISNUMBER(VALUE(LEFT(Plan1!F203,FIND("-",Plan1!F203)-1))),TRIM(MID(Plan1!F203,FIND("-",Plan1!F203)+1,200)),TRIM(Plan1!F203)),TRIM(Plan1!F203))</f>
        <v/>
      </c>
      <c r="B258">
        <f>IF(A258="","",MAX(1,N(Plan1!G203)+N(Plan1!H203)))</f>
        <v/>
      </c>
      <c r="D258">
        <f>IF(A258="","",TRIM(Plan1!$F$195))</f>
        <v/>
      </c>
    </row>
    <row r="259">
      <c r="A259">
        <f>IFERROR(IF(ISNUMBER(VALUE(LEFT(Plan1!F204,FIND("-",Plan1!F204)-1))),TRIM(MID(Plan1!F204,FIND("-",Plan1!F204)+1,200)),TRIM(Plan1!F204)),TRIM(Plan1!F204))</f>
        <v/>
      </c>
      <c r="B259">
        <f>IF(A259="","",MAX(1,N(Plan1!G204)+N(Plan1!H204)))</f>
        <v/>
      </c>
      <c r="D259">
        <f>IF(A259="","",TRIM(Plan1!$F$195))</f>
        <v/>
      </c>
    </row>
    <row r="260">
      <c r="A260">
        <f>IFERROR(IF(ISNUMBER(VALUE(LEFT(Plan1!F205,FIND("-",Plan1!F205)-1))),TRIM(MID(Plan1!F205,FIND("-",Plan1!F205)+1,200)),TRIM(Plan1!F205)),TRIM(Plan1!F205))</f>
        <v/>
      </c>
      <c r="B260">
        <f>IF(A260="","",MAX(1,N(Plan1!G205)+N(Plan1!H205)))</f>
        <v/>
      </c>
      <c r="D260">
        <f>IF(A260="","",TRIM(Plan1!$F$195))</f>
        <v/>
      </c>
    </row>
    <row r="261">
      <c r="A261">
        <f>IFERROR(IF(ISNUMBER(VALUE(LEFT(Plan1!F206,FIND("-",Plan1!F206)-1))),TRIM(MID(Plan1!F206,FIND("-",Plan1!F206)+1,200)),TRIM(Plan1!F206)),TRIM(Plan1!F206))</f>
        <v/>
      </c>
      <c r="B261">
        <f>IF(A261="","",MAX(1,N(Plan1!G206)+N(Plan1!H206)))</f>
        <v/>
      </c>
      <c r="D261">
        <f>IF(A261="","",TRIM(Plan1!$F$195))</f>
        <v/>
      </c>
    </row>
    <row r="262">
      <c r="A262">
        <f>IFERROR(IF(ISNUMBER(VALUE(LEFT(Plan1!B213,FIND("-",Plan1!B213)-1))),TRIM(MID(Plan1!B213,FIND("-",Plan1!B213)+1,200)),TRIM(Plan1!B213)),TRIM(Plan1!B213))</f>
        <v/>
      </c>
      <c r="B262">
        <f>IF(A262="","",MAX(1,N(Plan1!C213)+N(Plan1!D213)))</f>
        <v/>
      </c>
      <c r="D262">
        <f>IF(A262="","",TRIM(Plan1!$B$211))</f>
        <v/>
      </c>
    </row>
    <row r="263">
      <c r="A263">
        <f>IFERROR(IF(ISNUMBER(VALUE(LEFT(Plan1!B214,FIND("-",Plan1!B214)-1))),TRIM(MID(Plan1!B214,FIND("-",Plan1!B214)+1,200)),TRIM(Plan1!B214)),TRIM(Plan1!B214))</f>
        <v/>
      </c>
      <c r="B263">
        <f>IF(A263="","",MAX(1,N(Plan1!C214)+N(Plan1!D214)))</f>
        <v/>
      </c>
      <c r="D263">
        <f>IF(A263="","",TRIM(Plan1!$B$211))</f>
        <v/>
      </c>
    </row>
    <row r="264">
      <c r="A264">
        <f>IFERROR(IF(ISNUMBER(VALUE(LEFT(Plan1!B215,FIND("-",Plan1!B215)-1))),TRIM(MID(Plan1!B215,FIND("-",Plan1!B215)+1,200)),TRIM(Plan1!B215)),TRIM(Plan1!B215))</f>
        <v/>
      </c>
      <c r="B264">
        <f>IF(A264="","",MAX(1,N(Plan1!C215)+N(Plan1!D215)))</f>
        <v/>
      </c>
      <c r="D264">
        <f>IF(A264="","",TRIM(Plan1!$B$211))</f>
        <v/>
      </c>
    </row>
    <row r="265">
      <c r="A265">
        <f>IFERROR(IF(ISNUMBER(VALUE(LEFT(Plan1!B216,FIND("-",Plan1!B216)-1))),TRIM(MID(Plan1!B216,FIND("-",Plan1!B216)+1,200)),TRIM(Plan1!B216)),TRIM(Plan1!B216))</f>
        <v/>
      </c>
      <c r="B265">
        <f>IF(A265="","",MAX(1,N(Plan1!C216)+N(Plan1!D216)))</f>
        <v/>
      </c>
      <c r="D265">
        <f>IF(A265="","",TRIM(Plan1!$B$211))</f>
        <v/>
      </c>
    </row>
    <row r="266">
      <c r="A266">
        <f>IFERROR(IF(ISNUMBER(VALUE(LEFT(Plan1!B217,FIND("-",Plan1!B217)-1))),TRIM(MID(Plan1!B217,FIND("-",Plan1!B217)+1,200)),TRIM(Plan1!B217)),TRIM(Plan1!B217))</f>
        <v/>
      </c>
      <c r="B266">
        <f>IF(A266="","",MAX(1,N(Plan1!C217)+N(Plan1!D217)))</f>
        <v/>
      </c>
      <c r="D266">
        <f>IF(A266="","",TRIM(Plan1!$B$211))</f>
        <v/>
      </c>
    </row>
    <row r="267">
      <c r="A267">
        <f>IFERROR(IF(ISNUMBER(VALUE(LEFT(Plan1!B218,FIND("-",Plan1!B218)-1))),TRIM(MID(Plan1!B218,FIND("-",Plan1!B218)+1,200)),TRIM(Plan1!B218)),TRIM(Plan1!B218))</f>
        <v/>
      </c>
      <c r="B267">
        <f>IF(A267="","",MAX(1,N(Plan1!C218)+N(Plan1!D218)))</f>
        <v/>
      </c>
      <c r="D267">
        <f>IF(A267="","",TRIM(Plan1!$B$211))</f>
        <v/>
      </c>
    </row>
    <row r="268">
      <c r="A268">
        <f>IFERROR(IF(ISNUMBER(VALUE(LEFT(Plan1!B219,FIND("-",Plan1!B219)-1))),TRIM(MID(Plan1!B219,FIND("-",Plan1!B219)+1,200)),TRIM(Plan1!B219)),TRIM(Plan1!B219))</f>
        <v/>
      </c>
      <c r="B268">
        <f>IF(A268="","",MAX(1,N(Plan1!C219)+N(Plan1!D219)))</f>
        <v/>
      </c>
      <c r="D268">
        <f>IF(A268="","",TRIM(Plan1!$B$211))</f>
        <v/>
      </c>
    </row>
    <row r="269">
      <c r="A269">
        <f>IFERROR(IF(ISNUMBER(VALUE(LEFT(Plan1!B220,FIND("-",Plan1!B220)-1))),TRIM(MID(Plan1!B220,FIND("-",Plan1!B220)+1,200)),TRIM(Plan1!B220)),TRIM(Plan1!B220))</f>
        <v/>
      </c>
      <c r="B269">
        <f>IF(A269="","",MAX(1,N(Plan1!C220)+N(Plan1!D220)))</f>
        <v/>
      </c>
      <c r="D269">
        <f>IF(A269="","",TRIM(Plan1!$B$211))</f>
        <v/>
      </c>
    </row>
    <row r="270">
      <c r="A270">
        <f>IFERROR(IF(ISNUMBER(VALUE(LEFT(Plan1!B221,FIND("-",Plan1!B221)-1))),TRIM(MID(Plan1!B221,FIND("-",Plan1!B221)+1,200)),TRIM(Plan1!B221)),TRIM(Plan1!B221))</f>
        <v/>
      </c>
      <c r="B270">
        <f>IF(A270="","",MAX(1,N(Plan1!C221)+N(Plan1!D221)))</f>
        <v/>
      </c>
      <c r="D270">
        <f>IF(A270="","",TRIM(Plan1!$B$211))</f>
        <v/>
      </c>
    </row>
    <row r="271">
      <c r="A271">
        <f>IFERROR(IF(ISNUMBER(VALUE(LEFT(Plan1!B222,FIND("-",Plan1!B222)-1))),TRIM(MID(Plan1!B222,FIND("-",Plan1!B222)+1,200)),TRIM(Plan1!B222)),TRIM(Plan1!B222))</f>
        <v/>
      </c>
      <c r="B271">
        <f>IF(A271="","",MAX(1,N(Plan1!C222)+N(Plan1!D222)))</f>
        <v/>
      </c>
      <c r="D271">
        <f>IF(A271="","",TRIM(Plan1!$B$211))</f>
        <v/>
      </c>
    </row>
    <row r="272">
      <c r="A272">
        <f>IFERROR(IF(ISNUMBER(VALUE(LEFT(Plan1!F213,FIND("-",Plan1!F213)-1))),TRIM(MID(Plan1!F213,FIND("-",Plan1!F213)+1,200)),TRIM(Plan1!F213)),TRIM(Plan1!F213))</f>
        <v/>
      </c>
      <c r="B272">
        <f>IF(A272="","",MAX(1,N(Plan1!G213)+N(Plan1!H213)))</f>
        <v/>
      </c>
      <c r="D272">
        <f>IF(A272="","",TRIM(Plan1!$F$211))</f>
        <v/>
      </c>
    </row>
    <row r="273">
      <c r="A273">
        <f>IFERROR(IF(ISNUMBER(VALUE(LEFT(Plan1!F214,FIND("-",Plan1!F214)-1))),TRIM(MID(Plan1!F214,FIND("-",Plan1!F214)+1,200)),TRIM(Plan1!F214)),TRIM(Plan1!F214))</f>
        <v/>
      </c>
      <c r="B273">
        <f>IF(A273="","",MAX(1,N(Plan1!G214)+N(Plan1!H214)))</f>
        <v/>
      </c>
      <c r="D273">
        <f>IF(A273="","",TRIM(Plan1!$F$211))</f>
        <v/>
      </c>
    </row>
    <row r="274">
      <c r="A274">
        <f>IFERROR(IF(ISNUMBER(VALUE(LEFT(Plan1!F215,FIND("-",Plan1!F215)-1))),TRIM(MID(Plan1!F215,FIND("-",Plan1!F215)+1,200)),TRIM(Plan1!F215)),TRIM(Plan1!F215))</f>
        <v/>
      </c>
      <c r="B274">
        <f>IF(A274="","",MAX(1,N(Plan1!G215)+N(Plan1!H215)))</f>
        <v/>
      </c>
      <c r="D274">
        <f>IF(A274="","",TRIM(Plan1!$F$211))</f>
        <v/>
      </c>
    </row>
    <row r="275">
      <c r="A275">
        <f>IFERROR(IF(ISNUMBER(VALUE(LEFT(Plan1!F216,FIND("-",Plan1!F216)-1))),TRIM(MID(Plan1!F216,FIND("-",Plan1!F216)+1,200)),TRIM(Plan1!F216)),TRIM(Plan1!F216))</f>
        <v/>
      </c>
      <c r="B275">
        <f>IF(A275="","",MAX(1,N(Plan1!G216)+N(Plan1!H216)))</f>
        <v/>
      </c>
      <c r="D275">
        <f>IF(A275="","",TRIM(Plan1!$F$211))</f>
        <v/>
      </c>
    </row>
    <row r="276">
      <c r="A276">
        <f>IFERROR(IF(ISNUMBER(VALUE(LEFT(Plan1!F217,FIND("-",Plan1!F217)-1))),TRIM(MID(Plan1!F217,FIND("-",Plan1!F217)+1,200)),TRIM(Plan1!F217)),TRIM(Plan1!F217))</f>
        <v/>
      </c>
      <c r="B276">
        <f>IF(A276="","",MAX(1,N(Plan1!G217)+N(Plan1!H217)))</f>
        <v/>
      </c>
      <c r="D276">
        <f>IF(A276="","",TRIM(Plan1!$F$211))</f>
        <v/>
      </c>
    </row>
    <row r="277">
      <c r="A277">
        <f>IFERROR(IF(ISNUMBER(VALUE(LEFT(Plan1!F218,FIND("-",Plan1!F218)-1))),TRIM(MID(Plan1!F218,FIND("-",Plan1!F218)+1,200)),TRIM(Plan1!F218)),TRIM(Plan1!F218))</f>
        <v/>
      </c>
      <c r="B277">
        <f>IF(A277="","",MAX(1,N(Plan1!G218)+N(Plan1!H218)))</f>
        <v/>
      </c>
      <c r="D277">
        <f>IF(A277="","",TRIM(Plan1!$F$211))</f>
        <v/>
      </c>
    </row>
    <row r="278">
      <c r="A278">
        <f>IFERROR(IF(ISNUMBER(VALUE(LEFT(Plan1!F219,FIND("-",Plan1!F219)-1))),TRIM(MID(Plan1!F219,FIND("-",Plan1!F219)+1,200)),TRIM(Plan1!F219)),TRIM(Plan1!F219))</f>
        <v/>
      </c>
      <c r="B278">
        <f>IF(A278="","",MAX(1,N(Plan1!G219)+N(Plan1!H219)))</f>
        <v/>
      </c>
      <c r="D278">
        <f>IF(A278="","",TRIM(Plan1!$F$211))</f>
        <v/>
      </c>
    </row>
    <row r="279">
      <c r="A279">
        <f>IFERROR(IF(ISNUMBER(VALUE(LEFT(Plan1!F220,FIND("-",Plan1!F220)-1))),TRIM(MID(Plan1!F220,FIND("-",Plan1!F220)+1,200)),TRIM(Plan1!F220)),TRIM(Plan1!F220))</f>
        <v/>
      </c>
      <c r="B279">
        <f>IF(A279="","",MAX(1,N(Plan1!G220)+N(Plan1!H220)))</f>
        <v/>
      </c>
      <c r="D279">
        <f>IF(A279="","",TRIM(Plan1!$F$211))</f>
        <v/>
      </c>
    </row>
    <row r="280">
      <c r="A280">
        <f>IFERROR(IF(ISNUMBER(VALUE(LEFT(Plan1!F221,FIND("-",Plan1!F221)-1))),TRIM(MID(Plan1!F221,FIND("-",Plan1!F221)+1,200)),TRIM(Plan1!F221)),TRIM(Plan1!F221))</f>
        <v/>
      </c>
      <c r="B280">
        <f>IF(A280="","",MAX(1,N(Plan1!G221)+N(Plan1!H221)))</f>
        <v/>
      </c>
      <c r="D280">
        <f>IF(A280="","",TRIM(Plan1!$F$211))</f>
        <v/>
      </c>
    </row>
    <row r="281">
      <c r="A281">
        <f>IFERROR(IF(ISNUMBER(VALUE(LEFT(Plan1!F222,FIND("-",Plan1!F222)-1))),TRIM(MID(Plan1!F222,FIND("-",Plan1!F222)+1,200)),TRIM(Plan1!F222)),TRIM(Plan1!F222))</f>
        <v/>
      </c>
      <c r="B281">
        <f>IF(A281="","",MAX(1,N(Plan1!G222)+N(Plan1!H222)))</f>
        <v/>
      </c>
      <c r="D281">
        <f>IF(A281="","",TRIM(Plan1!$F$211))</f>
        <v/>
      </c>
    </row>
    <row r="282">
      <c r="A282">
        <f>IFERROR(IF(ISNUMBER(VALUE(LEFT(Plan1!B230,FIND("-",Plan1!B230)-1))),TRIM(MID(Plan1!B230,FIND("-",Plan1!B230)+1,200)),TRIM(Plan1!B230)),TRIM(Plan1!B230))</f>
        <v/>
      </c>
      <c r="B282">
        <f>IF(A282="","",MAX(1,N(Plan1!C230)+N(Plan1!D230)))</f>
        <v/>
      </c>
      <c r="D282">
        <f>IF(A282="","",TRIM(Plan1!$B$228))</f>
        <v/>
      </c>
    </row>
    <row r="283">
      <c r="A283">
        <f>IFERROR(IF(ISNUMBER(VALUE(LEFT(Plan1!B231,FIND("-",Plan1!B231)-1))),TRIM(MID(Plan1!B231,FIND("-",Plan1!B231)+1,200)),TRIM(Plan1!B231)),TRIM(Plan1!B231))</f>
        <v/>
      </c>
      <c r="B283">
        <f>IF(A283="","",MAX(1,N(Plan1!C231)+N(Plan1!D231)))</f>
        <v/>
      </c>
      <c r="D283">
        <f>IF(A283="","",TRIM(Plan1!$B$228))</f>
        <v/>
      </c>
    </row>
    <row r="284">
      <c r="A284">
        <f>IFERROR(IF(ISNUMBER(VALUE(LEFT(Plan1!B232,FIND("-",Plan1!B232)-1))),TRIM(MID(Plan1!B232,FIND("-",Plan1!B232)+1,200)),TRIM(Plan1!B232)),TRIM(Plan1!B232))</f>
        <v/>
      </c>
      <c r="B284">
        <f>IF(A284="","",MAX(1,N(Plan1!C232)+N(Plan1!D232)))</f>
        <v/>
      </c>
      <c r="D284">
        <f>IF(A284="","",TRIM(Plan1!$B$228))</f>
        <v/>
      </c>
    </row>
    <row r="285">
      <c r="A285">
        <f>IFERROR(IF(ISNUMBER(VALUE(LEFT(Plan1!B233,FIND("-",Plan1!B233)-1))),TRIM(MID(Plan1!B233,FIND("-",Plan1!B233)+1,200)),TRIM(Plan1!B233)),TRIM(Plan1!B233))</f>
        <v/>
      </c>
      <c r="B285">
        <f>IF(A285="","",MAX(1,N(Plan1!C233)+N(Plan1!D233)))</f>
        <v/>
      </c>
      <c r="D285">
        <f>IF(A285="","",TRIM(Plan1!$B$228))</f>
        <v/>
      </c>
    </row>
    <row r="286">
      <c r="A286">
        <f>IFERROR(IF(ISNUMBER(VALUE(LEFT(Plan1!B234,FIND("-",Plan1!B234)-1))),TRIM(MID(Plan1!B234,FIND("-",Plan1!B234)+1,200)),TRIM(Plan1!B234)),TRIM(Plan1!B234))</f>
        <v/>
      </c>
      <c r="B286">
        <f>IF(A286="","",MAX(1,N(Plan1!C234)+N(Plan1!D234)))</f>
        <v/>
      </c>
      <c r="D286">
        <f>IF(A286="","",TRIM(Plan1!$B$228))</f>
        <v/>
      </c>
    </row>
    <row r="287">
      <c r="A287">
        <f>IFERROR(IF(ISNUMBER(VALUE(LEFT(Plan1!B235,FIND("-",Plan1!B235)-1))),TRIM(MID(Plan1!B235,FIND("-",Plan1!B235)+1,200)),TRIM(Plan1!B235)),TRIM(Plan1!B235))</f>
        <v/>
      </c>
      <c r="B287">
        <f>IF(A287="","",MAX(1,N(Plan1!C235)+N(Plan1!D235)))</f>
        <v/>
      </c>
      <c r="D287">
        <f>IF(A287="","",TRIM(Plan1!$B$228))</f>
        <v/>
      </c>
    </row>
    <row r="288">
      <c r="A288">
        <f>IFERROR(IF(ISNUMBER(VALUE(LEFT(Plan1!B236,FIND("-",Plan1!B236)-1))),TRIM(MID(Plan1!B236,FIND("-",Plan1!B236)+1,200)),TRIM(Plan1!B236)),TRIM(Plan1!B236))</f>
        <v/>
      </c>
      <c r="B288">
        <f>IF(A288="","",MAX(1,N(Plan1!C236)+N(Plan1!D236)))</f>
        <v/>
      </c>
      <c r="D288">
        <f>IF(A288="","",TRIM(Plan1!$B$228))</f>
        <v/>
      </c>
    </row>
    <row r="289">
      <c r="A289">
        <f>IFERROR(IF(ISNUMBER(VALUE(LEFT(Plan1!B237,FIND("-",Plan1!B237)-1))),TRIM(MID(Plan1!B237,FIND("-",Plan1!B237)+1,200)),TRIM(Plan1!B237)),TRIM(Plan1!B237))</f>
        <v/>
      </c>
      <c r="B289">
        <f>IF(A289="","",MAX(1,N(Plan1!C237)+N(Plan1!D237)))</f>
        <v/>
      </c>
      <c r="D289">
        <f>IF(A289="","",TRIM(Plan1!$B$228))</f>
        <v/>
      </c>
    </row>
    <row r="290">
      <c r="A290">
        <f>IFERROR(IF(ISNUMBER(VALUE(LEFT(Plan1!B238,FIND("-",Plan1!B238)-1))),TRIM(MID(Plan1!B238,FIND("-",Plan1!B238)+1,200)),TRIM(Plan1!B238)),TRIM(Plan1!B238))</f>
        <v/>
      </c>
      <c r="B290">
        <f>IF(A290="","",MAX(1,N(Plan1!C238)+N(Plan1!D238)))</f>
        <v/>
      </c>
      <c r="D290">
        <f>IF(A290="","",TRIM(Plan1!$B$228))</f>
        <v/>
      </c>
    </row>
    <row r="291">
      <c r="A291">
        <f>IFERROR(IF(ISNUMBER(VALUE(LEFT(Plan1!B239,FIND("-",Plan1!B239)-1))),TRIM(MID(Plan1!B239,FIND("-",Plan1!B239)+1,200)),TRIM(Plan1!B239)),TRIM(Plan1!B239))</f>
        <v/>
      </c>
      <c r="B291">
        <f>IF(A291="","",MAX(1,N(Plan1!C239)+N(Plan1!D239)))</f>
        <v/>
      </c>
      <c r="D291">
        <f>IF(A291="","",TRIM(Plan1!$B$228))</f>
        <v/>
      </c>
    </row>
    <row r="292">
      <c r="A292">
        <f>IFERROR(IF(ISNUMBER(VALUE(LEFT(Plan1!F230,FIND("-",Plan1!F230)-1))),TRIM(MID(Plan1!F230,FIND("-",Plan1!F230)+1,200)),TRIM(Plan1!F230)),TRIM(Plan1!F230))</f>
        <v/>
      </c>
      <c r="B292">
        <f>IF(A292="","",MAX(1,N(Plan1!G230)+N(Plan1!H230)))</f>
        <v/>
      </c>
      <c r="D292">
        <f>IF(A292="","",TRIM(Plan1!$F$228))</f>
        <v/>
      </c>
    </row>
    <row r="293">
      <c r="A293">
        <f>IFERROR(IF(ISNUMBER(VALUE(LEFT(Plan1!F231,FIND("-",Plan1!F231)-1))),TRIM(MID(Plan1!F231,FIND("-",Plan1!F231)+1,200)),TRIM(Plan1!F231)),TRIM(Plan1!F231))</f>
        <v/>
      </c>
      <c r="B293">
        <f>IF(A293="","",MAX(1,N(Plan1!G231)+N(Plan1!H231)))</f>
        <v/>
      </c>
      <c r="D293">
        <f>IF(A293="","",TRIM(Plan1!$F$228))</f>
        <v/>
      </c>
    </row>
    <row r="294">
      <c r="A294">
        <f>IFERROR(IF(ISNUMBER(VALUE(LEFT(Plan1!F232,FIND("-",Plan1!F232)-1))),TRIM(MID(Plan1!F232,FIND("-",Plan1!F232)+1,200)),TRIM(Plan1!F232)),TRIM(Plan1!F232))</f>
        <v/>
      </c>
      <c r="B294">
        <f>IF(A294="","",MAX(1,N(Plan1!G232)+N(Plan1!H232)))</f>
        <v/>
      </c>
      <c r="D294">
        <f>IF(A294="","",TRIM(Plan1!$F$228))</f>
        <v/>
      </c>
    </row>
    <row r="295">
      <c r="A295">
        <f>IFERROR(IF(ISNUMBER(VALUE(LEFT(Plan1!F233,FIND("-",Plan1!F233)-1))),TRIM(MID(Plan1!F233,FIND("-",Plan1!F233)+1,200)),TRIM(Plan1!F233)),TRIM(Plan1!F233))</f>
        <v/>
      </c>
      <c r="B295">
        <f>IF(A295="","",MAX(1,N(Plan1!G233)+N(Plan1!H233)))</f>
        <v/>
      </c>
      <c r="D295">
        <f>IF(A295="","",TRIM(Plan1!$F$228))</f>
        <v/>
      </c>
    </row>
    <row r="296">
      <c r="A296">
        <f>IFERROR(IF(ISNUMBER(VALUE(LEFT(Plan1!F234,FIND("-",Plan1!F234)-1))),TRIM(MID(Plan1!F234,FIND("-",Plan1!F234)+1,200)),TRIM(Plan1!F234)),TRIM(Plan1!F234))</f>
        <v/>
      </c>
      <c r="B296">
        <f>IF(A296="","",MAX(1,N(Plan1!G234)+N(Plan1!H234)))</f>
        <v/>
      </c>
      <c r="D296">
        <f>IF(A296="","",TRIM(Plan1!$F$228))</f>
        <v/>
      </c>
    </row>
    <row r="297">
      <c r="A297">
        <f>IFERROR(IF(ISNUMBER(VALUE(LEFT(Plan1!F235,FIND("-",Plan1!F235)-1))),TRIM(MID(Plan1!F235,FIND("-",Plan1!F235)+1,200)),TRIM(Plan1!F235)),TRIM(Plan1!F235))</f>
        <v/>
      </c>
      <c r="B297">
        <f>IF(A297="","",MAX(1,N(Plan1!G235)+N(Plan1!H235)))</f>
        <v/>
      </c>
      <c r="D297">
        <f>IF(A297="","",TRIM(Plan1!$F$228))</f>
        <v/>
      </c>
    </row>
    <row r="298">
      <c r="A298">
        <f>IFERROR(IF(ISNUMBER(VALUE(LEFT(Plan1!F236,FIND("-",Plan1!F236)-1))),TRIM(MID(Plan1!F236,FIND("-",Plan1!F236)+1,200)),TRIM(Plan1!F236)),TRIM(Plan1!F236))</f>
        <v/>
      </c>
      <c r="B298">
        <f>IF(A298="","",MAX(1,N(Plan1!G236)+N(Plan1!H236)))</f>
        <v/>
      </c>
      <c r="D298">
        <f>IF(A298="","",TRIM(Plan1!$F$228))</f>
        <v/>
      </c>
    </row>
    <row r="299">
      <c r="A299">
        <f>IFERROR(IF(ISNUMBER(VALUE(LEFT(Plan1!F237,FIND("-",Plan1!F237)-1))),TRIM(MID(Plan1!F237,FIND("-",Plan1!F237)+1,200)),TRIM(Plan1!F237)),TRIM(Plan1!F237))</f>
        <v/>
      </c>
      <c r="B299">
        <f>IF(A299="","",MAX(1,N(Plan1!G237)+N(Plan1!H237)))</f>
        <v/>
      </c>
      <c r="D299">
        <f>IF(A299="","",TRIM(Plan1!$F$228))</f>
        <v/>
      </c>
    </row>
    <row r="300">
      <c r="A300">
        <f>IFERROR(IF(ISNUMBER(VALUE(LEFT(Plan1!F238,FIND("-",Plan1!F238)-1))),TRIM(MID(Plan1!F238,FIND("-",Plan1!F238)+1,200)),TRIM(Plan1!F238)),TRIM(Plan1!F238))</f>
        <v/>
      </c>
      <c r="B300">
        <f>IF(A300="","",MAX(1,N(Plan1!G238)+N(Plan1!H238)))</f>
        <v/>
      </c>
      <c r="D300">
        <f>IF(A300="","",TRIM(Plan1!$F$228))</f>
        <v/>
      </c>
    </row>
    <row r="301">
      <c r="A301">
        <f>IFERROR(IF(ISNUMBER(VALUE(LEFT(Plan1!F239,FIND("-",Plan1!F239)-1))),TRIM(MID(Plan1!F239,FIND("-",Plan1!F239)+1,200)),TRIM(Plan1!F239)),TRIM(Plan1!F239))</f>
        <v/>
      </c>
      <c r="B301">
        <f>IF(A301="","",MAX(1,N(Plan1!G239)+N(Plan1!H239)))</f>
        <v/>
      </c>
      <c r="D301">
        <f>IF(A301="","",TRIM(Plan1!$F$228))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4140625" defaultRowHeight="15" customHeight="1"/>
  <cols>
    <col width="8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Flavio</dc:creator>
  <dcterms:created xmlns:dcterms="http://purl.org/dc/terms/" xmlns:xsi="http://www.w3.org/2001/XMLSchema-instance" xsi:type="dcterms:W3CDTF">2017-01-22T18:07:02Z</dcterms:created>
  <dcterms:modified xmlns:dcterms="http://purl.org/dc/terms/" xmlns:xsi="http://www.w3.org/2001/XMLSchema-instance" xsi:type="dcterms:W3CDTF">2026-10-14T15:12:47Z</dcterms:modified>
  <cp:lastModifiedBy>Infinit Assessoria</cp:lastModifiedBy>
  <cp:lastPrinted>2025-10-10T18:04:53Z</cp:lastPrinted>
</cp:coreProperties>
</file>